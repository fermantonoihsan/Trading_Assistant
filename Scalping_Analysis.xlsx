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_Import" sheetId="1" state="visible" r:id="rId1"/>
    <sheet xmlns:r="http://schemas.openxmlformats.org/officeDocument/2006/relationships" name="Price_Chart" sheetId="2" state="visible" r:id="rId2"/>
    <sheet xmlns:r="http://schemas.openxmlformats.org/officeDocument/2006/relationships" name="PE_PBV_Band" sheetId="3" state="visible" r:id="rId3"/>
    <sheet xmlns:r="http://schemas.openxmlformats.org/officeDocument/2006/relationships" name="Consensus_EPS" sheetId="4" state="visible" r:id="rId4"/>
    <sheet xmlns:r="http://schemas.openxmlformats.org/officeDocument/2006/relationships" name="Brief_Syn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&quot;x&quot;"/>
    <numFmt numFmtId="166" formatCode="0.0"/>
    <numFmt numFmtId="167" formatCode="+0.0%;-0.0%;-"/>
    <numFmt numFmtId="168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1B3A59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8B"/>
      <sz val="10"/>
    </font>
    <font>
      <name val="Arial"/>
      <i val="1"/>
      <color rgb="00555555"/>
      <sz val="8"/>
    </font>
    <font>
      <name val="Arial"/>
      <b val="1"/>
      <color rgb="001B3A59"/>
      <sz val="10"/>
    </font>
    <font>
      <name val="Arial"/>
      <b val="1"/>
      <color rgb="0000008B"/>
      <sz val="11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1B3A59"/>
      <sz val="9"/>
    </font>
    <font>
      <name val="Arial"/>
      <color rgb="00888888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10"/>
    </font>
    <font>
      <name val="Arial"/>
      <color rgb="00888888"/>
      <sz val="10"/>
    </font>
    <font>
      <name val="Arial"/>
      <b val="1"/>
      <color rgb="00FFFFFF"/>
      <sz val="11"/>
    </font>
    <font>
      <name val="Arial"/>
      <i val="1"/>
      <color rgb="00888888"/>
      <sz val="8"/>
    </font>
    <font>
      <name val="Arial"/>
      <b val="1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FF3CD"/>
      </patternFill>
    </fill>
    <fill>
      <patternFill patternType="solid">
        <fgColor rgb="001B3A59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155724"/>
      </patternFill>
    </fill>
    <fill>
      <patternFill patternType="solid">
        <fgColor rgb="00721C24"/>
      </patternFill>
    </fill>
    <fill>
      <patternFill patternType="solid">
        <fgColor rgb="003D5A80"/>
      </patternFill>
    </fill>
    <fill>
      <patternFill patternType="solid">
        <fgColor rgb="002E5E8A"/>
      </patternFill>
    </fill>
    <fill>
      <patternFill patternType="solid">
        <fgColor rgb="008B1A1A"/>
      </patternFill>
    </fill>
    <fill>
      <patternFill patternType="solid">
        <fgColor rgb="00444466"/>
      </patternFill>
    </fill>
    <fill>
      <patternFill patternType="solid">
        <fgColor rgb="008B4513"/>
      </patternFill>
    </fill>
    <fill>
      <patternFill patternType="solid">
        <fgColor rgb="003A1B59"/>
      </patternFill>
    </fill>
    <fill>
      <patternFill patternType="solid">
        <fgColor rgb="001B4A2A"/>
      </patternFill>
    </fill>
    <fill>
      <patternFill patternType="solid">
        <fgColor rgb="005A3A1B"/>
      </patternFill>
    </fill>
    <fill>
      <patternFill patternType="solid">
        <fgColor rgb="002A4A3A"/>
      </patternFill>
    </fill>
    <fill>
      <patternFill patternType="solid">
        <fgColor rgb="005A1B59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164" fontId="0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164" fontId="0" fillId="6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center" vertical="center"/>
    </xf>
    <xf numFmtId="10" fontId="0" fillId="6" borderId="2" applyAlignment="1" pivotButton="0" quotePrefix="0" xfId="0">
      <alignment horizontal="center" vertical="center"/>
    </xf>
    <xf numFmtId="10" fontId="0" fillId="5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7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3" fontId="10" fillId="8" borderId="2" applyAlignment="1" pivotButton="0" quotePrefix="0" xfId="0">
      <alignment horizontal="center" vertical="center"/>
    </xf>
    <xf numFmtId="165" fontId="10" fillId="8" borderId="2" applyAlignment="1" pivotButton="0" quotePrefix="0" xfId="0">
      <alignment horizontal="center" vertical="center"/>
    </xf>
    <xf numFmtId="0" fontId="11" fillId="0" borderId="0" pivotButton="0" quotePrefix="0" xfId="0"/>
    <xf numFmtId="0" fontId="9" fillId="9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3" fontId="13" fillId="8" borderId="2" applyAlignment="1" pivotButton="0" quotePrefix="0" xfId="0">
      <alignment horizontal="center" vertical="center"/>
    </xf>
    <xf numFmtId="10" fontId="13" fillId="8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3" fontId="13" fillId="6" borderId="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4" fillId="12" borderId="3" applyAlignment="1" pivotButton="0" quotePrefix="0" xfId="0">
      <alignment horizontal="center" vertical="center" wrapText="1"/>
    </xf>
    <xf numFmtId="0" fontId="14" fillId="13" borderId="3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center" vertical="center"/>
    </xf>
    <xf numFmtId="166" fontId="4" fillId="7" borderId="2" applyAlignment="1" pivotButton="0" quotePrefix="0" xfId="0">
      <alignment horizontal="center" vertical="center"/>
    </xf>
    <xf numFmtId="166" fontId="10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167" fontId="13" fillId="8" borderId="2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3" fontId="4" fillId="7" borderId="2" applyAlignment="1" pivotButton="0" quotePrefix="0" xfId="0">
      <alignment horizontal="center" vertical="center"/>
    </xf>
    <xf numFmtId="168" fontId="10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66" fontId="15" fillId="8" borderId="2" applyAlignment="1" pivotButton="0" quotePrefix="0" xfId="0">
      <alignment horizontal="center" vertical="center"/>
    </xf>
    <xf numFmtId="167" fontId="10" fillId="8" borderId="2" applyAlignment="1" pivotButton="0" quotePrefix="0" xfId="0">
      <alignment horizontal="center" vertical="center"/>
    </xf>
    <xf numFmtId="3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Harga Close (Rp)</a:t>
            </a:r>
          </a:p>
        </rich>
      </tx>
    </title>
    <plotArea>
      <lineChart>
        <grouping val="standard"/>
        <ser>
          <idx val="0"/>
          <order val="0"/>
          <tx>
            <v>Close</v>
          </tx>
          <spPr>
            <a:ln xmlns:a="http://schemas.openxmlformats.org/drawingml/2006/main" w="18000">
              <a:solidFill>
                <a:srgbClr val="2E5E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'Price_Chart'!$B$9:$B$28</f>
            </numRef>
          </cat>
          <val>
            <numRef>
              <f>'Price_Chart'!$F$9:$F$28</f>
            </numRef>
          </val>
        </ser>
        <ser>
          <idx val="1"/>
          <order val="1"/>
          <tx>
            <v>MA20</v>
          </tx>
          <spPr>
            <a:ln xmlns:a="http://schemas.openxmlformats.org/drawingml/2006/main" w="12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'Price_Chart'!$B$9:$B$28</f>
            </numRef>
          </cat>
          <val>
            <numRef>
              <f>'Price_Chart'!$H$9:$H$28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prstDash val="solid"/>
            </a:ln>
          </spPr>
          <cat>
            <numRef>
              <f>'Price_Chart'!$B$9:$B$28</f>
            </numRef>
          </cat>
          <val>
            <numRef>
              <f>'Price_Chart'!$G$9:$G$28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 Band Implied Price vs Harga Saat Ini (BBCA)</a:t>
            </a:r>
          </a:p>
        </rich>
      </tx>
    </title>
    <plotArea>
      <barChart>
        <barDir val="bar"/>
        <grouping val="clustered"/>
        <ser>
          <idx val="0"/>
          <order val="0"/>
          <tx>
            <v>Implied Price</v>
          </tx>
          <spPr>
            <a:solidFill xmlns:a="http://schemas.openxmlformats.org/drawingml/2006/main">
              <a:srgbClr val="2E5E8A"/>
            </a:solidFill>
            <a:ln xmlns:a="http://schemas.openxmlformats.org/drawingml/2006/main">
              <a:prstDash val="solid"/>
            </a:ln>
          </spPr>
          <cat>
            <numRef>
              <f>'PE_PBV_Band'!$A$14:$A$18</f>
            </numRef>
          </cat>
          <val>
            <numRef>
              <f>'PE_PBV_Band'!$B$14:$B$18</f>
            </numRef>
          </val>
        </ser>
        <ser>
          <idx val="1"/>
          <order val="1"/>
          <tx>
            <v>Harga Saat Ini</v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'PE_PBV_Band'!$A$14:$A$18</f>
            </numRef>
          </cat>
          <val>
            <numRef>
              <f>'PE_PBV_Band'!$C$14:$C$18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Rating Analis (BBCA)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'Consensus_EPS'!$A$12:$A$14</f>
            </numRef>
          </cat>
          <val>
            <numRef>
              <f>'Consensus_EPS'!$B$12:$B$14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TP Range vs Harga (BBCA)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E8A"/>
            </a:solidFill>
            <a:ln xmlns:a="http://schemas.openxmlformats.org/drawingml/2006/main">
              <a:prstDash val="solid"/>
            </a:ln>
          </spPr>
          <cat>
            <numRef>
              <f>'Consensus_EPS'!$D$12:$D$15</f>
            </numRef>
          </cat>
          <val>
            <numRef>
              <f>'Consensus_EPS'!$E$12:$E$15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49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B3A59"/>
    <outlinePr summaryBelow="1" summaryRight="1"/>
    <pageSetUpPr/>
  </sheetPr>
  <dimension ref="A1:H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30" customHeight="1">
      <c r="A1" s="1" t="inlineStr">
        <is>
          <t>📥  GOOGLE FINANCE — OHLCV IMPORT</t>
        </is>
      </c>
    </row>
    <row r="2" ht="40" customHeight="1">
      <c r="A2" s="2" t="inlineStr">
        <is>
          <t>Data GF_Import diisi otomatis dari idx_scraper.fetch_ohlcv untuk 10 hari terakhir per kode saham input. Jika data tidak tersedia, baris kosong tetap dibuat untuk diisi manual.</t>
        </is>
      </c>
    </row>
    <row r="4" ht="22" customHeight="1">
      <c r="A4" s="3" t="inlineStr">
        <is>
          <t>KODE</t>
        </is>
      </c>
      <c r="B4" s="3" t="inlineStr">
        <is>
          <t>Tanggal</t>
        </is>
      </c>
      <c r="C4" s="3" t="inlineStr">
        <is>
          <t>Open</t>
        </is>
      </c>
      <c r="D4" s="3" t="inlineStr">
        <is>
          <t>High</t>
        </is>
      </c>
      <c r="E4" s="3" t="inlineStr">
        <is>
          <t>Low</t>
        </is>
      </c>
      <c r="F4" s="3" t="inlineStr">
        <is>
          <t>Close</t>
        </is>
      </c>
      <c r="G4" s="3" t="inlineStr">
        <is>
          <t>Volume</t>
        </is>
      </c>
      <c r="H4" s="3" t="inlineStr">
        <is>
          <t>% Change</t>
        </is>
      </c>
    </row>
    <row r="5">
      <c r="A5" s="4" t="inlineStr">
        <is>
          <t>BBCA</t>
        </is>
      </c>
      <c r="B5" s="5" t="n">
        <v>46175</v>
      </c>
      <c r="C5" s="6" t="n">
        <v>5750</v>
      </c>
      <c r="D5" s="6" t="n">
        <v>5875</v>
      </c>
      <c r="E5" s="6" t="n">
        <v>5700</v>
      </c>
      <c r="F5" s="6" t="n">
        <v>5825</v>
      </c>
      <c r="G5" s="6" t="n">
        <v>346305200</v>
      </c>
      <c r="H5" s="7" t="inlineStr">
        <is>
          <t>-</t>
        </is>
      </c>
    </row>
    <row r="6">
      <c r="A6" s="8" t="inlineStr">
        <is>
          <t>BBCA</t>
        </is>
      </c>
      <c r="B6" s="9" t="n">
        <v>46176</v>
      </c>
      <c r="C6" s="10" t="n">
        <v>5775</v>
      </c>
      <c r="D6" s="10" t="n">
        <v>5825</v>
      </c>
      <c r="E6" s="10" t="n">
        <v>5525</v>
      </c>
      <c r="F6" s="10" t="n">
        <v>5525</v>
      </c>
      <c r="G6" s="10" t="n">
        <v>353332300</v>
      </c>
      <c r="H6" s="11" t="n">
        <v>-0.0515</v>
      </c>
    </row>
    <row r="7">
      <c r="A7" s="4" t="inlineStr">
        <is>
          <t>BBCA</t>
        </is>
      </c>
      <c r="B7" s="5" t="n">
        <v>46177</v>
      </c>
      <c r="C7" s="6" t="n">
        <v>5475</v>
      </c>
      <c r="D7" s="6" t="n">
        <v>5600</v>
      </c>
      <c r="E7" s="6" t="n">
        <v>5300</v>
      </c>
      <c r="F7" s="6" t="n">
        <v>5425</v>
      </c>
      <c r="G7" s="6" t="n">
        <v>550059500</v>
      </c>
      <c r="H7" s="12" t="n">
        <v>-0.0181</v>
      </c>
    </row>
    <row r="8">
      <c r="A8" s="8" t="inlineStr">
        <is>
          <t>BBCA</t>
        </is>
      </c>
      <c r="B8" s="9" t="n">
        <v>46178</v>
      </c>
      <c r="C8" s="10" t="n">
        <v>5325</v>
      </c>
      <c r="D8" s="10" t="n">
        <v>5375</v>
      </c>
      <c r="E8" s="10" t="n">
        <v>5075</v>
      </c>
      <c r="F8" s="10" t="n">
        <v>5075</v>
      </c>
      <c r="G8" s="10" t="n">
        <v>572612000</v>
      </c>
      <c r="H8" s="11" t="n">
        <v>-0.0645</v>
      </c>
    </row>
    <row r="9">
      <c r="A9" s="4" t="inlineStr">
        <is>
          <t>BBCA</t>
        </is>
      </c>
      <c r="B9" s="5" t="n">
        <v>46181</v>
      </c>
      <c r="C9" s="6" t="n">
        <v>4950</v>
      </c>
      <c r="D9" s="6" t="n">
        <v>5050</v>
      </c>
      <c r="E9" s="6" t="n">
        <v>4850</v>
      </c>
      <c r="F9" s="6" t="n">
        <v>4850</v>
      </c>
      <c r="G9" s="6" t="n">
        <v>705093300</v>
      </c>
      <c r="H9" s="12" t="n">
        <v>-0.0443</v>
      </c>
    </row>
    <row r="10">
      <c r="A10" s="8" t="inlineStr">
        <is>
          <t>BBCA</t>
        </is>
      </c>
      <c r="B10" s="9" t="n">
        <v>46182</v>
      </c>
      <c r="C10" s="10" t="n">
        <v>4850</v>
      </c>
      <c r="D10" s="10" t="n">
        <v>5150</v>
      </c>
      <c r="E10" s="10" t="n">
        <v>4820</v>
      </c>
      <c r="F10" s="10" t="n">
        <v>5150</v>
      </c>
      <c r="G10" s="10" t="n">
        <v>772898000</v>
      </c>
      <c r="H10" s="11" t="n">
        <v>0.0619</v>
      </c>
    </row>
    <row r="11">
      <c r="A11" s="4" t="inlineStr">
        <is>
          <t>BBCA</t>
        </is>
      </c>
      <c r="B11" s="5" t="n">
        <v>46183</v>
      </c>
      <c r="C11" s="6" t="n">
        <v>5175</v>
      </c>
      <c r="D11" s="6" t="n">
        <v>5700</v>
      </c>
      <c r="E11" s="6" t="n">
        <v>5175</v>
      </c>
      <c r="F11" s="6" t="n">
        <v>5650</v>
      </c>
      <c r="G11" s="6" t="n">
        <v>747366000</v>
      </c>
      <c r="H11" s="12" t="n">
        <v>0.09710000000000001</v>
      </c>
    </row>
    <row r="12">
      <c r="A12" s="8" t="inlineStr">
        <is>
          <t>BBCA</t>
        </is>
      </c>
      <c r="B12" s="9" t="n">
        <v>46184</v>
      </c>
      <c r="C12" s="10" t="n">
        <v>5650</v>
      </c>
      <c r="D12" s="10" t="n">
        <v>5875</v>
      </c>
      <c r="E12" s="10" t="n">
        <v>5550</v>
      </c>
      <c r="F12" s="10" t="n">
        <v>5825</v>
      </c>
      <c r="G12" s="10" t="n">
        <v>543032300</v>
      </c>
      <c r="H12" s="11" t="n">
        <v>0.031</v>
      </c>
    </row>
    <row r="13">
      <c r="A13" s="4" t="inlineStr">
        <is>
          <t>BBCA</t>
        </is>
      </c>
      <c r="B13" s="5" t="n">
        <v>46185</v>
      </c>
      <c r="C13" s="6" t="n">
        <v>6000</v>
      </c>
      <c r="D13" s="6" t="n">
        <v>6100</v>
      </c>
      <c r="E13" s="6" t="n">
        <v>5900</v>
      </c>
      <c r="F13" s="6" t="n">
        <v>5925</v>
      </c>
      <c r="G13" s="6" t="n">
        <v>415872300</v>
      </c>
      <c r="H13" s="12" t="n">
        <v>0.0172</v>
      </c>
    </row>
    <row r="14">
      <c r="A14" s="8" t="inlineStr">
        <is>
          <t>BBCA</t>
        </is>
      </c>
      <c r="B14" s="9" t="n">
        <v>46188</v>
      </c>
      <c r="C14" s="10" t="n">
        <v>6100</v>
      </c>
      <c r="D14" s="10" t="n">
        <v>6425</v>
      </c>
      <c r="E14" s="10" t="n">
        <v>6100</v>
      </c>
      <c r="F14" s="10" t="n">
        <v>6275</v>
      </c>
      <c r="G14" s="10" t="n">
        <v>476865200</v>
      </c>
      <c r="H14" s="11" t="n">
        <v>0.0591</v>
      </c>
    </row>
    <row r="15">
      <c r="A15" s="4" t="inlineStr">
        <is>
          <t>BBRI</t>
        </is>
      </c>
      <c r="B15" s="5" t="n">
        <v>46175</v>
      </c>
      <c r="C15" s="6" t="n">
        <v>3000</v>
      </c>
      <c r="D15" s="6" t="n">
        <v>3040</v>
      </c>
      <c r="E15" s="6" t="n">
        <v>2980</v>
      </c>
      <c r="F15" s="6" t="n">
        <v>3040</v>
      </c>
      <c r="G15" s="6" t="n">
        <v>320974000</v>
      </c>
      <c r="H15" s="7" t="inlineStr">
        <is>
          <t>-</t>
        </is>
      </c>
    </row>
    <row r="16">
      <c r="A16" s="8" t="inlineStr">
        <is>
          <t>BBRI</t>
        </is>
      </c>
      <c r="B16" s="9" t="n">
        <v>46176</v>
      </c>
      <c r="C16" s="10" t="n">
        <v>3050</v>
      </c>
      <c r="D16" s="10" t="n">
        <v>3070</v>
      </c>
      <c r="E16" s="10" t="n">
        <v>2900</v>
      </c>
      <c r="F16" s="10" t="n">
        <v>2900</v>
      </c>
      <c r="G16" s="10" t="n">
        <v>411746000</v>
      </c>
      <c r="H16" s="11" t="n">
        <v>-0.0461</v>
      </c>
    </row>
    <row r="17">
      <c r="A17" s="4" t="inlineStr">
        <is>
          <t>BBRI</t>
        </is>
      </c>
      <c r="B17" s="5" t="n">
        <v>46177</v>
      </c>
      <c r="C17" s="6" t="n">
        <v>2900</v>
      </c>
      <c r="D17" s="6" t="n">
        <v>2930</v>
      </c>
      <c r="E17" s="6" t="n">
        <v>2780</v>
      </c>
      <c r="F17" s="6" t="n">
        <v>2810</v>
      </c>
      <c r="G17" s="6" t="n">
        <v>493450500</v>
      </c>
      <c r="H17" s="12" t="n">
        <v>-0.031</v>
      </c>
    </row>
    <row r="18">
      <c r="A18" s="8" t="inlineStr">
        <is>
          <t>BBRI</t>
        </is>
      </c>
      <c r="B18" s="9" t="n">
        <v>46178</v>
      </c>
      <c r="C18" s="10" t="n">
        <v>2780</v>
      </c>
      <c r="D18" s="10" t="n">
        <v>2830</v>
      </c>
      <c r="E18" s="10" t="n">
        <v>2730</v>
      </c>
      <c r="F18" s="10" t="n">
        <v>2740</v>
      </c>
      <c r="G18" s="10" t="n">
        <v>310053600</v>
      </c>
      <c r="H18" s="11" t="n">
        <v>-0.0249</v>
      </c>
    </row>
    <row r="19">
      <c r="A19" s="4" t="inlineStr">
        <is>
          <t>BBRI</t>
        </is>
      </c>
      <c r="B19" s="5" t="n">
        <v>46181</v>
      </c>
      <c r="C19" s="6" t="n">
        <v>2700</v>
      </c>
      <c r="D19" s="6" t="n">
        <v>2750</v>
      </c>
      <c r="E19" s="6" t="n">
        <v>2590</v>
      </c>
      <c r="F19" s="6" t="n">
        <v>2590</v>
      </c>
      <c r="G19" s="6" t="n">
        <v>626878600</v>
      </c>
      <c r="H19" s="12" t="n">
        <v>-0.0547</v>
      </c>
    </row>
    <row r="20">
      <c r="A20" s="8" t="inlineStr">
        <is>
          <t>BBRI</t>
        </is>
      </c>
      <c r="B20" s="9" t="n">
        <v>46182</v>
      </c>
      <c r="C20" s="10" t="n">
        <v>2540</v>
      </c>
      <c r="D20" s="10" t="n">
        <v>2800</v>
      </c>
      <c r="E20" s="10" t="n">
        <v>2540</v>
      </c>
      <c r="F20" s="10" t="n">
        <v>2790</v>
      </c>
      <c r="G20" s="10" t="n">
        <v>873192700</v>
      </c>
      <c r="H20" s="11" t="n">
        <v>0.07719999999999999</v>
      </c>
    </row>
    <row r="21">
      <c r="A21" s="4" t="inlineStr">
        <is>
          <t>BBRI</t>
        </is>
      </c>
      <c r="B21" s="5" t="n">
        <v>46183</v>
      </c>
      <c r="C21" s="6" t="n">
        <v>2790</v>
      </c>
      <c r="D21" s="6" t="n">
        <v>2910</v>
      </c>
      <c r="E21" s="6" t="n">
        <v>2730</v>
      </c>
      <c r="F21" s="6" t="n">
        <v>2880</v>
      </c>
      <c r="G21" s="6" t="n">
        <v>704423000</v>
      </c>
      <c r="H21" s="12" t="n">
        <v>0.0323</v>
      </c>
    </row>
    <row r="22">
      <c r="A22" s="8" t="inlineStr">
        <is>
          <t>BBRI</t>
        </is>
      </c>
      <c r="B22" s="9" t="n">
        <v>46184</v>
      </c>
      <c r="C22" s="10" t="n">
        <v>2880</v>
      </c>
      <c r="D22" s="10" t="n">
        <v>2960</v>
      </c>
      <c r="E22" s="10" t="n">
        <v>2780</v>
      </c>
      <c r="F22" s="10" t="n">
        <v>2850</v>
      </c>
      <c r="G22" s="10" t="n">
        <v>465509700</v>
      </c>
      <c r="H22" s="11" t="n">
        <v>-0.0104</v>
      </c>
    </row>
    <row r="23">
      <c r="A23" s="4" t="inlineStr">
        <is>
          <t>BBRI</t>
        </is>
      </c>
      <c r="B23" s="5" t="n">
        <v>46185</v>
      </c>
      <c r="C23" s="6" t="n">
        <v>2880</v>
      </c>
      <c r="D23" s="6" t="n">
        <v>2900</v>
      </c>
      <c r="E23" s="6" t="n">
        <v>2830</v>
      </c>
      <c r="F23" s="6" t="n">
        <v>2850</v>
      </c>
      <c r="G23" s="6" t="n">
        <v>450530000</v>
      </c>
      <c r="H23" s="12" t="n">
        <v>0</v>
      </c>
    </row>
    <row r="24">
      <c r="A24" s="8" t="inlineStr">
        <is>
          <t>BBRI</t>
        </is>
      </c>
      <c r="B24" s="9" t="n">
        <v>46188</v>
      </c>
      <c r="C24" s="10" t="n">
        <v>2890</v>
      </c>
      <c r="D24" s="10" t="n">
        <v>3050</v>
      </c>
      <c r="E24" s="10" t="n">
        <v>2890</v>
      </c>
      <c r="F24" s="10" t="n">
        <v>2990</v>
      </c>
      <c r="G24" s="10" t="n">
        <v>615861900</v>
      </c>
      <c r="H24" s="11" t="n">
        <v>0.0491</v>
      </c>
    </row>
    <row r="25">
      <c r="A25" s="4" t="inlineStr">
        <is>
          <t>TLKM</t>
        </is>
      </c>
      <c r="B25" s="5" t="n">
        <v>46175</v>
      </c>
      <c r="C25" s="6" t="n">
        <v>2990</v>
      </c>
      <c r="D25" s="6" t="n">
        <v>3020</v>
      </c>
      <c r="E25" s="6" t="n">
        <v>2910</v>
      </c>
      <c r="F25" s="6" t="n">
        <v>2950</v>
      </c>
      <c r="G25" s="6" t="n">
        <v>242446000</v>
      </c>
      <c r="H25" s="7" t="inlineStr">
        <is>
          <t>-</t>
        </is>
      </c>
    </row>
    <row r="26">
      <c r="A26" s="8" t="inlineStr">
        <is>
          <t>TLKM</t>
        </is>
      </c>
      <c r="B26" s="9" t="n">
        <v>46176</v>
      </c>
      <c r="C26" s="10" t="n">
        <v>2900</v>
      </c>
      <c r="D26" s="10" t="n">
        <v>2950</v>
      </c>
      <c r="E26" s="10" t="n">
        <v>2850</v>
      </c>
      <c r="F26" s="10" t="n">
        <v>2850</v>
      </c>
      <c r="G26" s="10" t="n">
        <v>168085400</v>
      </c>
      <c r="H26" s="11" t="n">
        <v>-0.0339</v>
      </c>
    </row>
    <row r="27">
      <c r="A27" s="4" t="inlineStr">
        <is>
          <t>TLKM</t>
        </is>
      </c>
      <c r="B27" s="5" t="n">
        <v>46177</v>
      </c>
      <c r="C27" s="6" t="n">
        <v>2900</v>
      </c>
      <c r="D27" s="6" t="n">
        <v>2950</v>
      </c>
      <c r="E27" s="6" t="n">
        <v>2680</v>
      </c>
      <c r="F27" s="6" t="n">
        <v>2900</v>
      </c>
      <c r="G27" s="6" t="n">
        <v>197151900</v>
      </c>
      <c r="H27" s="12" t="n">
        <v>0.0175</v>
      </c>
    </row>
    <row r="28">
      <c r="A28" s="8" t="inlineStr">
        <is>
          <t>TLKM</t>
        </is>
      </c>
      <c r="B28" s="9" t="n">
        <v>46178</v>
      </c>
      <c r="C28" s="10" t="n">
        <v>2900</v>
      </c>
      <c r="D28" s="10" t="n">
        <v>2930</v>
      </c>
      <c r="E28" s="10" t="n">
        <v>2760</v>
      </c>
      <c r="F28" s="10" t="n">
        <v>2760</v>
      </c>
      <c r="G28" s="10" t="n">
        <v>105040300</v>
      </c>
      <c r="H28" s="11" t="n">
        <v>-0.0483</v>
      </c>
    </row>
    <row r="29">
      <c r="A29" s="4" t="inlineStr">
        <is>
          <t>TLKM</t>
        </is>
      </c>
      <c r="B29" s="5" t="n">
        <v>46181</v>
      </c>
      <c r="C29" s="6" t="n">
        <v>2620</v>
      </c>
      <c r="D29" s="6" t="n">
        <v>2650</v>
      </c>
      <c r="E29" s="6" t="n">
        <v>2350</v>
      </c>
      <c r="F29" s="6" t="n">
        <v>2350</v>
      </c>
      <c r="G29" s="6" t="n">
        <v>331947700</v>
      </c>
      <c r="H29" s="12" t="n">
        <v>-0.1486</v>
      </c>
    </row>
    <row r="30">
      <c r="A30" s="8" t="inlineStr">
        <is>
          <t>TLKM</t>
        </is>
      </c>
      <c r="B30" s="9" t="n">
        <v>46182</v>
      </c>
      <c r="C30" s="10" t="n">
        <v>2510</v>
      </c>
      <c r="D30" s="10" t="n">
        <v>2620</v>
      </c>
      <c r="E30" s="10" t="n">
        <v>2510</v>
      </c>
      <c r="F30" s="10" t="n">
        <v>2620</v>
      </c>
      <c r="G30" s="10" t="n">
        <v>371055600</v>
      </c>
      <c r="H30" s="11" t="n">
        <v>0.1149</v>
      </c>
    </row>
    <row r="31">
      <c r="A31" s="4" t="inlineStr">
        <is>
          <t>TLKM</t>
        </is>
      </c>
      <c r="B31" s="5" t="n">
        <v>46183</v>
      </c>
      <c r="C31" s="6" t="n">
        <v>2500</v>
      </c>
      <c r="D31" s="6" t="n">
        <v>2810</v>
      </c>
      <c r="E31" s="6" t="n">
        <v>2500</v>
      </c>
      <c r="F31" s="6" t="n">
        <v>2810</v>
      </c>
      <c r="G31" s="6" t="n">
        <v>391732600</v>
      </c>
      <c r="H31" s="12" t="n">
        <v>0.0725</v>
      </c>
    </row>
    <row r="32">
      <c r="A32" s="8" t="inlineStr">
        <is>
          <t>TLKM</t>
        </is>
      </c>
      <c r="B32" s="9" t="n">
        <v>46184</v>
      </c>
      <c r="C32" s="10" t="n">
        <v>2870</v>
      </c>
      <c r="D32" s="10" t="n">
        <v>2970</v>
      </c>
      <c r="E32" s="10" t="n">
        <v>2810</v>
      </c>
      <c r="F32" s="10" t="n">
        <v>2870</v>
      </c>
      <c r="G32" s="10" t="n">
        <v>274793100</v>
      </c>
      <c r="H32" s="11" t="n">
        <v>0.0214</v>
      </c>
    </row>
    <row r="33">
      <c r="A33" s="4" t="inlineStr">
        <is>
          <t>TLKM</t>
        </is>
      </c>
      <c r="B33" s="5" t="n">
        <v>46185</v>
      </c>
      <c r="C33" s="6" t="n">
        <v>2910</v>
      </c>
      <c r="D33" s="6" t="n">
        <v>2980</v>
      </c>
      <c r="E33" s="6" t="n">
        <v>2860</v>
      </c>
      <c r="F33" s="6" t="n">
        <v>2860</v>
      </c>
      <c r="G33" s="6" t="n">
        <v>181531900</v>
      </c>
      <c r="H33" s="12" t="n">
        <v>-0.0035</v>
      </c>
    </row>
    <row r="34">
      <c r="A34" s="8" t="inlineStr">
        <is>
          <t>TLKM</t>
        </is>
      </c>
      <c r="B34" s="9" t="n">
        <v>46188</v>
      </c>
      <c r="C34" s="10" t="n">
        <v>2900</v>
      </c>
      <c r="D34" s="10" t="n">
        <v>2970</v>
      </c>
      <c r="E34" s="10" t="n">
        <v>2890</v>
      </c>
      <c r="F34" s="10" t="n">
        <v>2930</v>
      </c>
      <c r="G34" s="10" t="n">
        <v>153652900</v>
      </c>
      <c r="H34" s="11" t="n">
        <v>0.0245</v>
      </c>
    </row>
    <row r="35">
      <c r="A35" s="4" t="inlineStr">
        <is>
          <t>DEWA</t>
        </is>
      </c>
      <c r="B35" s="5" t="n">
        <v>46175</v>
      </c>
      <c r="C35" s="6" t="n">
        <v>338</v>
      </c>
      <c r="D35" s="6" t="n">
        <v>352</v>
      </c>
      <c r="E35" s="6" t="n">
        <v>330</v>
      </c>
      <c r="F35" s="6" t="n">
        <v>334</v>
      </c>
      <c r="G35" s="6" t="n">
        <v>429443500</v>
      </c>
      <c r="H35" s="7" t="inlineStr">
        <is>
          <t>-</t>
        </is>
      </c>
    </row>
    <row r="36">
      <c r="A36" s="8" t="inlineStr">
        <is>
          <t>DEWA</t>
        </is>
      </c>
      <c r="B36" s="9" t="n">
        <v>46176</v>
      </c>
      <c r="C36" s="10" t="n">
        <v>338</v>
      </c>
      <c r="D36" s="10" t="n">
        <v>340</v>
      </c>
      <c r="E36" s="10" t="n">
        <v>284</v>
      </c>
      <c r="F36" s="10" t="n">
        <v>294</v>
      </c>
      <c r="G36" s="10" t="n">
        <v>955812900</v>
      </c>
      <c r="H36" s="11" t="n">
        <v>-0.1198</v>
      </c>
    </row>
    <row r="37">
      <c r="A37" s="4" t="inlineStr">
        <is>
          <t>DEWA</t>
        </is>
      </c>
      <c r="B37" s="5" t="n">
        <v>46177</v>
      </c>
      <c r="C37" s="6" t="n">
        <v>292</v>
      </c>
      <c r="D37" s="6" t="n">
        <v>302</v>
      </c>
      <c r="E37" s="6" t="n">
        <v>250</v>
      </c>
      <c r="F37" s="6" t="n">
        <v>286</v>
      </c>
      <c r="G37" s="6" t="n">
        <v>1067018200</v>
      </c>
      <c r="H37" s="12" t="n">
        <v>-0.0272</v>
      </c>
    </row>
    <row r="38">
      <c r="A38" s="8" t="inlineStr">
        <is>
          <t>DEWA</t>
        </is>
      </c>
      <c r="B38" s="9" t="n">
        <v>46178</v>
      </c>
      <c r="C38" s="10" t="n">
        <v>292</v>
      </c>
      <c r="D38" s="10" t="n">
        <v>294</v>
      </c>
      <c r="E38" s="10" t="n">
        <v>262</v>
      </c>
      <c r="F38" s="10" t="n">
        <v>262</v>
      </c>
      <c r="G38" s="10" t="n">
        <v>654394600</v>
      </c>
      <c r="H38" s="11" t="n">
        <v>-0.0839</v>
      </c>
    </row>
    <row r="39">
      <c r="A39" s="4" t="inlineStr">
        <is>
          <t>DEWA</t>
        </is>
      </c>
      <c r="B39" s="5" t="n">
        <v>46181</v>
      </c>
      <c r="C39" s="6" t="n">
        <v>254</v>
      </c>
      <c r="D39" s="6" t="n">
        <v>264</v>
      </c>
      <c r="E39" s="6" t="n">
        <v>234</v>
      </c>
      <c r="F39" s="6" t="n">
        <v>250</v>
      </c>
      <c r="G39" s="6" t="n">
        <v>553025400</v>
      </c>
      <c r="H39" s="12" t="n">
        <v>-0.0458</v>
      </c>
    </row>
    <row r="40">
      <c r="A40" s="8" t="inlineStr">
        <is>
          <t>DEWA</t>
        </is>
      </c>
      <c r="B40" s="9" t="n">
        <v>46182</v>
      </c>
      <c r="C40" s="10" t="n">
        <v>250</v>
      </c>
      <c r="D40" s="10" t="n">
        <v>282</v>
      </c>
      <c r="E40" s="10" t="n">
        <v>244</v>
      </c>
      <c r="F40" s="10" t="n">
        <v>280</v>
      </c>
      <c r="G40" s="10" t="n">
        <v>1133523000</v>
      </c>
      <c r="H40" s="11" t="n">
        <v>0.12</v>
      </c>
    </row>
    <row r="41">
      <c r="A41" s="4" t="inlineStr">
        <is>
          <t>DEWA</t>
        </is>
      </c>
      <c r="B41" s="5" t="n">
        <v>46183</v>
      </c>
      <c r="C41" s="6" t="n">
        <v>280</v>
      </c>
      <c r="D41" s="6" t="n">
        <v>324</v>
      </c>
      <c r="E41" s="6" t="n">
        <v>270</v>
      </c>
      <c r="F41" s="6" t="n">
        <v>302</v>
      </c>
      <c r="G41" s="6" t="n">
        <v>1512078300</v>
      </c>
      <c r="H41" s="12" t="n">
        <v>0.0786</v>
      </c>
    </row>
    <row r="42">
      <c r="A42" s="8" t="inlineStr">
        <is>
          <t>DEWA</t>
        </is>
      </c>
      <c r="B42" s="9" t="n">
        <v>46184</v>
      </c>
      <c r="C42" s="10" t="n">
        <v>302</v>
      </c>
      <c r="D42" s="10" t="n">
        <v>316</v>
      </c>
      <c r="E42" s="10" t="n">
        <v>284</v>
      </c>
      <c r="F42" s="10" t="n">
        <v>294</v>
      </c>
      <c r="G42" s="10" t="n">
        <v>619297300</v>
      </c>
      <c r="H42" s="11" t="n">
        <v>-0.0265</v>
      </c>
    </row>
    <row r="43">
      <c r="A43" s="4" t="inlineStr">
        <is>
          <t>DEWA</t>
        </is>
      </c>
      <c r="B43" s="5" t="n">
        <v>46185</v>
      </c>
      <c r="C43" s="6" t="n">
        <v>300</v>
      </c>
      <c r="D43" s="6" t="n">
        <v>334</v>
      </c>
      <c r="E43" s="6" t="n">
        <v>300</v>
      </c>
      <c r="F43" s="6" t="n">
        <v>330</v>
      </c>
      <c r="G43" s="6" t="n">
        <v>1053314700</v>
      </c>
      <c r="H43" s="12" t="n">
        <v>0.1224</v>
      </c>
    </row>
    <row r="44">
      <c r="A44" s="8" t="inlineStr">
        <is>
          <t>DEWA</t>
        </is>
      </c>
      <c r="B44" s="9" t="n">
        <v>46188</v>
      </c>
      <c r="C44" s="10" t="n">
        <v>348</v>
      </c>
      <c r="D44" s="10" t="n">
        <v>406</v>
      </c>
      <c r="E44" s="10" t="n">
        <v>340</v>
      </c>
      <c r="F44" s="10" t="n">
        <v>370</v>
      </c>
      <c r="G44" s="10" t="n">
        <v>2081850900</v>
      </c>
      <c r="H44" s="11" t="n">
        <v>0.1212</v>
      </c>
    </row>
    <row r="46" ht="18" customHeight="1">
      <c r="A46" s="13" t="inlineStr">
        <is>
          <t>Warna BIRU = Input manual pengguna  |  Warna HITAM = Formula otomatis  |  Paste data baru setelah baris terakhir saham</t>
        </is>
      </c>
    </row>
  </sheetData>
  <mergeCells count="3">
    <mergeCell ref="A1:H1"/>
    <mergeCell ref="A2:H2"/>
    <mergeCell ref="A46:H46"/>
  </mergeCells>
  <dataValidations count="1">
    <dataValidation sqref="A5:A500" showErrorMessage="1" showInputMessage="1" allowBlank="1" type="list">
      <formula1>"BBCA,BBRI,TLKM,DEWA"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8A"/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📊  ANALISIS OHLCV &amp; TEKNIKAL PER SAHAM</t>
        </is>
      </c>
    </row>
    <row r="2" ht="24" customHeight="1">
      <c r="A2" s="14" t="inlineStr">
        <is>
          <t>Pilih Saham:</t>
        </is>
      </c>
      <c r="B2" s="15" t="inlineStr">
        <is>
          <t>BBCA</t>
        </is>
      </c>
      <c r="C2" s="16" t="inlineStr">
        <is>
          <t>← Pilih kode dari dropdown</t>
        </is>
      </c>
    </row>
    <row r="4" ht="22" customHeight="1">
      <c r="A4" s="17" t="inlineStr">
        <is>
          <t>Kode</t>
        </is>
      </c>
      <c r="B4" s="17" t="inlineStr">
        <is>
          <t>Tgl Terakhir</t>
        </is>
      </c>
      <c r="C4" s="17" t="inlineStr">
        <is>
          <t>Close</t>
        </is>
      </c>
      <c r="D4" s="17" t="inlineStr">
        <is>
          <t>High 10H</t>
        </is>
      </c>
      <c r="E4" s="17" t="inlineStr">
        <is>
          <t>Low 10H</t>
        </is>
      </c>
      <c r="F4" s="17" t="inlineStr">
        <is>
          <t>Vol</t>
        </is>
      </c>
      <c r="G4" s="17" t="inlineStr">
        <is>
          <t>Vol Avg 10H</t>
        </is>
      </c>
      <c r="H4" s="17" t="inlineStr">
        <is>
          <t>Vol Mult</t>
        </is>
      </c>
    </row>
    <row r="5" ht="20" customHeight="1">
      <c r="A5" s="18">
        <f>B2</f>
        <v/>
      </c>
      <c r="B5" s="18">
        <f>IFERROR(MAXIFS(GF_Import!B:B,GF_Import!A:A,B2),"N/A")</f>
        <v/>
      </c>
      <c r="C5" s="19">
        <f>IFERROR(INDEX(GF_Import!F:F,MATCH(B2&amp;MAXIFS(GF_Import!B:B,GF_Import!A:A,B2),GF_Import!A:A&amp;GF_Import!B:B,0)),"N/A")</f>
        <v/>
      </c>
      <c r="D5" s="19">
        <f>IFERROR(MAXIFS(GF_Import!D:D,GF_Import!A:A,B2),"N/A")</f>
        <v/>
      </c>
      <c r="E5" s="19">
        <f>IFERROR(MINIFS(GF_Import!E:E,GF_Import!A:A,B2),"N/A")</f>
        <v/>
      </c>
      <c r="F5" s="19">
        <f>IFERROR(SUMIF(GF_Import!A:A,B2,GF_Import!G:G)/COUNTIF(GF_Import!A:A,B2),"N/A")</f>
        <v/>
      </c>
      <c r="G5" s="19">
        <f>IFERROR(SUMIF(GF_Import!A:A,B2,GF_Import!G:G)/COUNTIF(GF_Import!A:A,B2),"N/A")</f>
        <v/>
      </c>
      <c r="H5" s="20">
        <f>IFERROR(C5/G5,"N/A")</f>
        <v/>
      </c>
    </row>
    <row r="7" ht="18" customHeight="1">
      <c r="A7" s="21" t="inlineStr">
        <is>
          <t>Data Chart (auto-filter dari GF_Import untuk saham terpilih):</t>
        </is>
      </c>
    </row>
    <row r="8" ht="22" customHeight="1">
      <c r="A8" s="22" t="inlineStr">
        <is>
          <t>No</t>
        </is>
      </c>
      <c r="B8" s="22" t="inlineStr">
        <is>
          <t>Tanggal</t>
        </is>
      </c>
      <c r="C8" s="22" t="inlineStr">
        <is>
          <t>Open</t>
        </is>
      </c>
      <c r="D8" s="22" t="inlineStr">
        <is>
          <t>High</t>
        </is>
      </c>
      <c r="E8" s="22" t="inlineStr">
        <is>
          <t>Low</t>
        </is>
      </c>
      <c r="F8" s="22" t="inlineStr">
        <is>
          <t>Close</t>
        </is>
      </c>
      <c r="G8" s="22" t="inlineStr">
        <is>
          <t>Volume</t>
        </is>
      </c>
      <c r="H8" s="23" t="inlineStr">
        <is>
          <t>MA 20</t>
        </is>
      </c>
      <c r="I8" s="23" t="inlineStr">
        <is>
          <t>% Chg</t>
        </is>
      </c>
    </row>
    <row r="9" ht="18" customHeight="1">
      <c r="A9" s="24" t="n">
        <v>1</v>
      </c>
      <c r="B9" s="25">
        <f>IFERROR(INDEX(GF_Import!B:B,MATCH(AGGREGATE(15,6,(ROW(GF_Import!A$5:A$500)-ROW(GF_Import!A$5)+1)/(GF_Import!A$5:A$500=$B$2),1)+ROW(GF_Import!A$5)-1,ROW(GF_Import!A$5:A$500)-ROW(GF_Import!A$5)+1+ROW(GF_Import!A$5)-1,0)),"")</f>
        <v/>
      </c>
      <c r="C9" s="26">
        <f>IFERROR(INDEX(GF_Import!C:C,MATCH(AGGREGATE(15,6,(ROW(GF_Import!A$5:A$500)-ROW(GF_Import!A$5)+1)/(GF_Import!A$5:A$500=$B$2),1)+ROW(GF_Import!A$5)-1,ROW(GF_Import!A$5:A$500)-ROW(GF_Import!A$5)+1+ROW(GF_Import!A$5)-1,0)),"")</f>
        <v/>
      </c>
      <c r="D9" s="26">
        <f>IFERROR(INDEX(GF_Import!D:D,MATCH(AGGREGATE(15,6,(ROW(GF_Import!A$5:A$500)-ROW(GF_Import!A$5)+1)/(GF_Import!A$5:A$500=$B$2),1)+ROW(GF_Import!A$5)-1,ROW(GF_Import!A$5:A$500)-ROW(GF_Import!A$5)+1+ROW(GF_Import!A$5)-1,0)),"")</f>
        <v/>
      </c>
      <c r="E9" s="26">
        <f>IFERROR(INDEX(GF_Import!E:E,MATCH(AGGREGATE(15,6,(ROW(GF_Import!A$5:A$500)-ROW(GF_Import!A$5)+1)/(GF_Import!A$5:A$500=$B$2),1)+ROW(GF_Import!A$5)-1,ROW(GF_Import!A$5:A$500)-ROW(GF_Import!A$5)+1+ROW(GF_Import!A$5)-1,0)),"")</f>
        <v/>
      </c>
      <c r="F9" s="26">
        <f>IFERROR(INDEX(GF_Import!F:F,MATCH(AGGREGATE(15,6,(ROW(GF_Import!A$5:A$500)-ROW(GF_Import!A$5)+1)/(GF_Import!A$5:A$500=$B$2),1)+ROW(GF_Import!A$5)-1,ROW(GF_Import!A$5:A$500)-ROW(GF_Import!A$5)+1+ROW(GF_Import!A$5)-1,0)),"")</f>
        <v/>
      </c>
      <c r="G9" s="26">
        <f>IFERROR(INDEX(GF_Import!G:G,MATCH(AGGREGATE(15,6,(ROW(GF_Import!A$5:A$500)-ROW(GF_Import!A$5)+1)/(GF_Import!A$5:A$500=$B$2),1)+ROW(GF_Import!A$5)-1,ROW(GF_Import!A$5:A$500)-ROW(GF_Import!A$5)+1+ROW(GF_Import!A$5)-1,0)),"")</f>
        <v/>
      </c>
      <c r="H9" s="27">
        <f>IF(F9="","",IFERROR(AVERAGEIF(GF_Import!A:A,$B$2,GF_Import!F:F),""))</f>
        <v/>
      </c>
      <c r="I9" s="28">
        <f>IF(OR(F9="",F8=""),"",IFERROR((F9-F8)/F8,""))</f>
        <v/>
      </c>
    </row>
    <row r="10" ht="18" customHeight="1">
      <c r="A10" s="24" t="n">
        <v>2</v>
      </c>
      <c r="B10" s="29">
        <f>IFERROR(INDEX(GF_Import!B:B,MATCH(AGGREGATE(15,6,(ROW(GF_Import!A$5:A$500)-ROW(GF_Import!A$5)+1)/(GF_Import!A$5:A$500=$B$2),2)+ROW(GF_Import!A$5)-1,ROW(GF_Import!A$5:A$500)-ROW(GF_Import!A$5)+1+ROW(GF_Import!A$5)-1,0)),"")</f>
        <v/>
      </c>
      <c r="C10" s="30">
        <f>IFERROR(INDEX(GF_Import!C:C,MATCH(AGGREGATE(15,6,(ROW(GF_Import!A$5:A$500)-ROW(GF_Import!A$5)+1)/(GF_Import!A$5:A$500=$B$2),2)+ROW(GF_Import!A$5)-1,ROW(GF_Import!A$5:A$500)-ROW(GF_Import!A$5)+1+ROW(GF_Import!A$5)-1,0)),"")</f>
        <v/>
      </c>
      <c r="D10" s="30">
        <f>IFERROR(INDEX(GF_Import!D:D,MATCH(AGGREGATE(15,6,(ROW(GF_Import!A$5:A$500)-ROW(GF_Import!A$5)+1)/(GF_Import!A$5:A$500=$B$2),2)+ROW(GF_Import!A$5)-1,ROW(GF_Import!A$5:A$500)-ROW(GF_Import!A$5)+1+ROW(GF_Import!A$5)-1,0)),"")</f>
        <v/>
      </c>
      <c r="E10" s="30">
        <f>IFERROR(INDEX(GF_Import!E:E,MATCH(AGGREGATE(15,6,(ROW(GF_Import!A$5:A$500)-ROW(GF_Import!A$5)+1)/(GF_Import!A$5:A$500=$B$2),2)+ROW(GF_Import!A$5)-1,ROW(GF_Import!A$5:A$500)-ROW(GF_Import!A$5)+1+ROW(GF_Import!A$5)-1,0)),"")</f>
        <v/>
      </c>
      <c r="F10" s="30">
        <f>IFERROR(INDEX(GF_Import!F:F,MATCH(AGGREGATE(15,6,(ROW(GF_Import!A$5:A$500)-ROW(GF_Import!A$5)+1)/(GF_Import!A$5:A$500=$B$2),2)+ROW(GF_Import!A$5)-1,ROW(GF_Import!A$5:A$500)-ROW(GF_Import!A$5)+1+ROW(GF_Import!A$5)-1,0)),"")</f>
        <v/>
      </c>
      <c r="G10" s="30">
        <f>IFERROR(INDEX(GF_Import!G:G,MATCH(AGGREGATE(15,6,(ROW(GF_Import!A$5:A$500)-ROW(GF_Import!A$5)+1)/(GF_Import!A$5:A$500=$B$2),2)+ROW(GF_Import!A$5)-1,ROW(GF_Import!A$5:A$500)-ROW(GF_Import!A$5)+1+ROW(GF_Import!A$5)-1,0)),"")</f>
        <v/>
      </c>
      <c r="H10" s="27">
        <f>IF(F10="","",IFERROR(AVERAGEIF(GF_Import!A:A,$B$2,GF_Import!F:F),""))</f>
        <v/>
      </c>
      <c r="I10" s="28">
        <f>IF(OR(F10="",F9=""),"",IFERROR((F10-F9)/F9,""))</f>
        <v/>
      </c>
    </row>
    <row r="11" ht="18" customHeight="1">
      <c r="A11" s="24" t="n">
        <v>3</v>
      </c>
      <c r="B11" s="25">
        <f>IFERROR(INDEX(GF_Import!B:B,MATCH(AGGREGATE(15,6,(ROW(GF_Import!A$5:A$500)-ROW(GF_Import!A$5)+1)/(GF_Import!A$5:A$500=$B$2),3)+ROW(GF_Import!A$5)-1,ROW(GF_Import!A$5:A$500)-ROW(GF_Import!A$5)+1+ROW(GF_Import!A$5)-1,0)),"")</f>
        <v/>
      </c>
      <c r="C11" s="26">
        <f>IFERROR(INDEX(GF_Import!C:C,MATCH(AGGREGATE(15,6,(ROW(GF_Import!A$5:A$500)-ROW(GF_Import!A$5)+1)/(GF_Import!A$5:A$500=$B$2),3)+ROW(GF_Import!A$5)-1,ROW(GF_Import!A$5:A$500)-ROW(GF_Import!A$5)+1+ROW(GF_Import!A$5)-1,0)),"")</f>
        <v/>
      </c>
      <c r="D11" s="26">
        <f>IFERROR(INDEX(GF_Import!D:D,MATCH(AGGREGATE(15,6,(ROW(GF_Import!A$5:A$500)-ROW(GF_Import!A$5)+1)/(GF_Import!A$5:A$500=$B$2),3)+ROW(GF_Import!A$5)-1,ROW(GF_Import!A$5:A$500)-ROW(GF_Import!A$5)+1+ROW(GF_Import!A$5)-1,0)),"")</f>
        <v/>
      </c>
      <c r="E11" s="26">
        <f>IFERROR(INDEX(GF_Import!E:E,MATCH(AGGREGATE(15,6,(ROW(GF_Import!A$5:A$500)-ROW(GF_Import!A$5)+1)/(GF_Import!A$5:A$500=$B$2),3)+ROW(GF_Import!A$5)-1,ROW(GF_Import!A$5:A$500)-ROW(GF_Import!A$5)+1+ROW(GF_Import!A$5)-1,0)),"")</f>
        <v/>
      </c>
      <c r="F11" s="26">
        <f>IFERROR(INDEX(GF_Import!F:F,MATCH(AGGREGATE(15,6,(ROW(GF_Import!A$5:A$500)-ROW(GF_Import!A$5)+1)/(GF_Import!A$5:A$500=$B$2),3)+ROW(GF_Import!A$5)-1,ROW(GF_Import!A$5:A$500)-ROW(GF_Import!A$5)+1+ROW(GF_Import!A$5)-1,0)),"")</f>
        <v/>
      </c>
      <c r="G11" s="26">
        <f>IFERROR(INDEX(GF_Import!G:G,MATCH(AGGREGATE(15,6,(ROW(GF_Import!A$5:A$500)-ROW(GF_Import!A$5)+1)/(GF_Import!A$5:A$500=$B$2),3)+ROW(GF_Import!A$5)-1,ROW(GF_Import!A$5:A$500)-ROW(GF_Import!A$5)+1+ROW(GF_Import!A$5)-1,0)),"")</f>
        <v/>
      </c>
      <c r="H11" s="27">
        <f>IF(F11="","",IFERROR(AVERAGEIF(GF_Import!A:A,$B$2,GF_Import!F:F),""))</f>
        <v/>
      </c>
      <c r="I11" s="28">
        <f>IF(OR(F11="",F10=""),"",IFERROR((F11-F10)/F10,""))</f>
        <v/>
      </c>
    </row>
    <row r="12" ht="18" customHeight="1">
      <c r="A12" s="24" t="n">
        <v>4</v>
      </c>
      <c r="B12" s="29">
        <f>IFERROR(INDEX(GF_Import!B:B,MATCH(AGGREGATE(15,6,(ROW(GF_Import!A$5:A$500)-ROW(GF_Import!A$5)+1)/(GF_Import!A$5:A$500=$B$2),4)+ROW(GF_Import!A$5)-1,ROW(GF_Import!A$5:A$500)-ROW(GF_Import!A$5)+1+ROW(GF_Import!A$5)-1,0)),"")</f>
        <v/>
      </c>
      <c r="C12" s="30">
        <f>IFERROR(INDEX(GF_Import!C:C,MATCH(AGGREGATE(15,6,(ROW(GF_Import!A$5:A$500)-ROW(GF_Import!A$5)+1)/(GF_Import!A$5:A$500=$B$2),4)+ROW(GF_Import!A$5)-1,ROW(GF_Import!A$5:A$500)-ROW(GF_Import!A$5)+1+ROW(GF_Import!A$5)-1,0)),"")</f>
        <v/>
      </c>
      <c r="D12" s="30">
        <f>IFERROR(INDEX(GF_Import!D:D,MATCH(AGGREGATE(15,6,(ROW(GF_Import!A$5:A$500)-ROW(GF_Import!A$5)+1)/(GF_Import!A$5:A$500=$B$2),4)+ROW(GF_Import!A$5)-1,ROW(GF_Import!A$5:A$500)-ROW(GF_Import!A$5)+1+ROW(GF_Import!A$5)-1,0)),"")</f>
        <v/>
      </c>
      <c r="E12" s="30">
        <f>IFERROR(INDEX(GF_Import!E:E,MATCH(AGGREGATE(15,6,(ROW(GF_Import!A$5:A$500)-ROW(GF_Import!A$5)+1)/(GF_Import!A$5:A$500=$B$2),4)+ROW(GF_Import!A$5)-1,ROW(GF_Import!A$5:A$500)-ROW(GF_Import!A$5)+1+ROW(GF_Import!A$5)-1,0)),"")</f>
        <v/>
      </c>
      <c r="F12" s="30">
        <f>IFERROR(INDEX(GF_Import!F:F,MATCH(AGGREGATE(15,6,(ROW(GF_Import!A$5:A$500)-ROW(GF_Import!A$5)+1)/(GF_Import!A$5:A$500=$B$2),4)+ROW(GF_Import!A$5)-1,ROW(GF_Import!A$5:A$500)-ROW(GF_Import!A$5)+1+ROW(GF_Import!A$5)-1,0)),"")</f>
        <v/>
      </c>
      <c r="G12" s="30">
        <f>IFERROR(INDEX(GF_Import!G:G,MATCH(AGGREGATE(15,6,(ROW(GF_Import!A$5:A$500)-ROW(GF_Import!A$5)+1)/(GF_Import!A$5:A$500=$B$2),4)+ROW(GF_Import!A$5)-1,ROW(GF_Import!A$5:A$500)-ROW(GF_Import!A$5)+1+ROW(GF_Import!A$5)-1,0)),"")</f>
        <v/>
      </c>
      <c r="H12" s="27">
        <f>IF(F12="","",IFERROR(AVERAGEIF(GF_Import!A:A,$B$2,GF_Import!F:F),""))</f>
        <v/>
      </c>
      <c r="I12" s="28">
        <f>IF(OR(F12="",F11=""),"",IFERROR((F12-F11)/F11,""))</f>
        <v/>
      </c>
    </row>
    <row r="13" ht="18" customHeight="1">
      <c r="A13" s="24" t="n">
        <v>5</v>
      </c>
      <c r="B13" s="25">
        <f>IFERROR(INDEX(GF_Import!B:B,MATCH(AGGREGATE(15,6,(ROW(GF_Import!A$5:A$500)-ROW(GF_Import!A$5)+1)/(GF_Import!A$5:A$500=$B$2),5)+ROW(GF_Import!A$5)-1,ROW(GF_Import!A$5:A$500)-ROW(GF_Import!A$5)+1+ROW(GF_Import!A$5)-1,0)),"")</f>
        <v/>
      </c>
      <c r="C13" s="26">
        <f>IFERROR(INDEX(GF_Import!C:C,MATCH(AGGREGATE(15,6,(ROW(GF_Import!A$5:A$500)-ROW(GF_Import!A$5)+1)/(GF_Import!A$5:A$500=$B$2),5)+ROW(GF_Import!A$5)-1,ROW(GF_Import!A$5:A$500)-ROW(GF_Import!A$5)+1+ROW(GF_Import!A$5)-1,0)),"")</f>
        <v/>
      </c>
      <c r="D13" s="26">
        <f>IFERROR(INDEX(GF_Import!D:D,MATCH(AGGREGATE(15,6,(ROW(GF_Import!A$5:A$500)-ROW(GF_Import!A$5)+1)/(GF_Import!A$5:A$500=$B$2),5)+ROW(GF_Import!A$5)-1,ROW(GF_Import!A$5:A$500)-ROW(GF_Import!A$5)+1+ROW(GF_Import!A$5)-1,0)),"")</f>
        <v/>
      </c>
      <c r="E13" s="26">
        <f>IFERROR(INDEX(GF_Import!E:E,MATCH(AGGREGATE(15,6,(ROW(GF_Import!A$5:A$500)-ROW(GF_Import!A$5)+1)/(GF_Import!A$5:A$500=$B$2),5)+ROW(GF_Import!A$5)-1,ROW(GF_Import!A$5:A$500)-ROW(GF_Import!A$5)+1+ROW(GF_Import!A$5)-1,0)),"")</f>
        <v/>
      </c>
      <c r="F13" s="26">
        <f>IFERROR(INDEX(GF_Import!F:F,MATCH(AGGREGATE(15,6,(ROW(GF_Import!A$5:A$500)-ROW(GF_Import!A$5)+1)/(GF_Import!A$5:A$500=$B$2),5)+ROW(GF_Import!A$5)-1,ROW(GF_Import!A$5:A$500)-ROW(GF_Import!A$5)+1+ROW(GF_Import!A$5)-1,0)),"")</f>
        <v/>
      </c>
      <c r="G13" s="26">
        <f>IFERROR(INDEX(GF_Import!G:G,MATCH(AGGREGATE(15,6,(ROW(GF_Import!A$5:A$500)-ROW(GF_Import!A$5)+1)/(GF_Import!A$5:A$500=$B$2),5)+ROW(GF_Import!A$5)-1,ROW(GF_Import!A$5:A$500)-ROW(GF_Import!A$5)+1+ROW(GF_Import!A$5)-1,0)),"")</f>
        <v/>
      </c>
      <c r="H13" s="27">
        <f>IF(F13="","",IFERROR(AVERAGEIF(GF_Import!A:A,$B$2,GF_Import!F:F),""))</f>
        <v/>
      </c>
      <c r="I13" s="28">
        <f>IF(OR(F13="",F12=""),"",IFERROR((F13-F12)/F12,""))</f>
        <v/>
      </c>
    </row>
    <row r="14" ht="18" customHeight="1">
      <c r="A14" s="24" t="n">
        <v>6</v>
      </c>
      <c r="B14" s="29">
        <f>IFERROR(INDEX(GF_Import!B:B,MATCH(AGGREGATE(15,6,(ROW(GF_Import!A$5:A$500)-ROW(GF_Import!A$5)+1)/(GF_Import!A$5:A$500=$B$2),6)+ROW(GF_Import!A$5)-1,ROW(GF_Import!A$5:A$500)-ROW(GF_Import!A$5)+1+ROW(GF_Import!A$5)-1,0)),"")</f>
        <v/>
      </c>
      <c r="C14" s="30">
        <f>IFERROR(INDEX(GF_Import!C:C,MATCH(AGGREGATE(15,6,(ROW(GF_Import!A$5:A$500)-ROW(GF_Import!A$5)+1)/(GF_Import!A$5:A$500=$B$2),6)+ROW(GF_Import!A$5)-1,ROW(GF_Import!A$5:A$500)-ROW(GF_Import!A$5)+1+ROW(GF_Import!A$5)-1,0)),"")</f>
        <v/>
      </c>
      <c r="D14" s="30">
        <f>IFERROR(INDEX(GF_Import!D:D,MATCH(AGGREGATE(15,6,(ROW(GF_Import!A$5:A$500)-ROW(GF_Import!A$5)+1)/(GF_Import!A$5:A$500=$B$2),6)+ROW(GF_Import!A$5)-1,ROW(GF_Import!A$5:A$500)-ROW(GF_Import!A$5)+1+ROW(GF_Import!A$5)-1,0)),"")</f>
        <v/>
      </c>
      <c r="E14" s="30">
        <f>IFERROR(INDEX(GF_Import!E:E,MATCH(AGGREGATE(15,6,(ROW(GF_Import!A$5:A$500)-ROW(GF_Import!A$5)+1)/(GF_Import!A$5:A$500=$B$2),6)+ROW(GF_Import!A$5)-1,ROW(GF_Import!A$5:A$500)-ROW(GF_Import!A$5)+1+ROW(GF_Import!A$5)-1,0)),"")</f>
        <v/>
      </c>
      <c r="F14" s="30">
        <f>IFERROR(INDEX(GF_Import!F:F,MATCH(AGGREGATE(15,6,(ROW(GF_Import!A$5:A$500)-ROW(GF_Import!A$5)+1)/(GF_Import!A$5:A$500=$B$2),6)+ROW(GF_Import!A$5)-1,ROW(GF_Import!A$5:A$500)-ROW(GF_Import!A$5)+1+ROW(GF_Import!A$5)-1,0)),"")</f>
        <v/>
      </c>
      <c r="G14" s="30">
        <f>IFERROR(INDEX(GF_Import!G:G,MATCH(AGGREGATE(15,6,(ROW(GF_Import!A$5:A$500)-ROW(GF_Import!A$5)+1)/(GF_Import!A$5:A$500=$B$2),6)+ROW(GF_Import!A$5)-1,ROW(GF_Import!A$5:A$500)-ROW(GF_Import!A$5)+1+ROW(GF_Import!A$5)-1,0)),"")</f>
        <v/>
      </c>
      <c r="H14" s="27">
        <f>IF(F14="","",IFERROR(AVERAGEIF(GF_Import!A:A,$B$2,GF_Import!F:F),""))</f>
        <v/>
      </c>
      <c r="I14" s="28">
        <f>IF(OR(F14="",F13=""),"",IFERROR((F14-F13)/F13,""))</f>
        <v/>
      </c>
    </row>
    <row r="15" ht="18" customHeight="1">
      <c r="A15" s="24" t="n">
        <v>7</v>
      </c>
      <c r="B15" s="25">
        <f>IFERROR(INDEX(GF_Import!B:B,MATCH(AGGREGATE(15,6,(ROW(GF_Import!A$5:A$500)-ROW(GF_Import!A$5)+1)/(GF_Import!A$5:A$500=$B$2),7)+ROW(GF_Import!A$5)-1,ROW(GF_Import!A$5:A$500)-ROW(GF_Import!A$5)+1+ROW(GF_Import!A$5)-1,0)),"")</f>
        <v/>
      </c>
      <c r="C15" s="26">
        <f>IFERROR(INDEX(GF_Import!C:C,MATCH(AGGREGATE(15,6,(ROW(GF_Import!A$5:A$500)-ROW(GF_Import!A$5)+1)/(GF_Import!A$5:A$500=$B$2),7)+ROW(GF_Import!A$5)-1,ROW(GF_Import!A$5:A$500)-ROW(GF_Import!A$5)+1+ROW(GF_Import!A$5)-1,0)),"")</f>
        <v/>
      </c>
      <c r="D15" s="26">
        <f>IFERROR(INDEX(GF_Import!D:D,MATCH(AGGREGATE(15,6,(ROW(GF_Import!A$5:A$500)-ROW(GF_Import!A$5)+1)/(GF_Import!A$5:A$500=$B$2),7)+ROW(GF_Import!A$5)-1,ROW(GF_Import!A$5:A$500)-ROW(GF_Import!A$5)+1+ROW(GF_Import!A$5)-1,0)),"")</f>
        <v/>
      </c>
      <c r="E15" s="26">
        <f>IFERROR(INDEX(GF_Import!E:E,MATCH(AGGREGATE(15,6,(ROW(GF_Import!A$5:A$500)-ROW(GF_Import!A$5)+1)/(GF_Import!A$5:A$500=$B$2),7)+ROW(GF_Import!A$5)-1,ROW(GF_Import!A$5:A$500)-ROW(GF_Import!A$5)+1+ROW(GF_Import!A$5)-1,0)),"")</f>
        <v/>
      </c>
      <c r="F15" s="26">
        <f>IFERROR(INDEX(GF_Import!F:F,MATCH(AGGREGATE(15,6,(ROW(GF_Import!A$5:A$500)-ROW(GF_Import!A$5)+1)/(GF_Import!A$5:A$500=$B$2),7)+ROW(GF_Import!A$5)-1,ROW(GF_Import!A$5:A$500)-ROW(GF_Import!A$5)+1+ROW(GF_Import!A$5)-1,0)),"")</f>
        <v/>
      </c>
      <c r="G15" s="26">
        <f>IFERROR(INDEX(GF_Import!G:G,MATCH(AGGREGATE(15,6,(ROW(GF_Import!A$5:A$500)-ROW(GF_Import!A$5)+1)/(GF_Import!A$5:A$500=$B$2),7)+ROW(GF_Import!A$5)-1,ROW(GF_Import!A$5:A$500)-ROW(GF_Import!A$5)+1+ROW(GF_Import!A$5)-1,0)),"")</f>
        <v/>
      </c>
      <c r="H15" s="27">
        <f>IF(F15="","",IFERROR(AVERAGEIF(GF_Import!A:A,$B$2,GF_Import!F:F),""))</f>
        <v/>
      </c>
      <c r="I15" s="28">
        <f>IF(OR(F15="",F14=""),"",IFERROR((F15-F14)/F14,""))</f>
        <v/>
      </c>
    </row>
    <row r="16" ht="18" customHeight="1">
      <c r="A16" s="24" t="n">
        <v>8</v>
      </c>
      <c r="B16" s="29">
        <f>IFERROR(INDEX(GF_Import!B:B,MATCH(AGGREGATE(15,6,(ROW(GF_Import!A$5:A$500)-ROW(GF_Import!A$5)+1)/(GF_Import!A$5:A$500=$B$2),8)+ROW(GF_Import!A$5)-1,ROW(GF_Import!A$5:A$500)-ROW(GF_Import!A$5)+1+ROW(GF_Import!A$5)-1,0)),"")</f>
        <v/>
      </c>
      <c r="C16" s="30">
        <f>IFERROR(INDEX(GF_Import!C:C,MATCH(AGGREGATE(15,6,(ROW(GF_Import!A$5:A$500)-ROW(GF_Import!A$5)+1)/(GF_Import!A$5:A$500=$B$2),8)+ROW(GF_Import!A$5)-1,ROW(GF_Import!A$5:A$500)-ROW(GF_Import!A$5)+1+ROW(GF_Import!A$5)-1,0)),"")</f>
        <v/>
      </c>
      <c r="D16" s="30">
        <f>IFERROR(INDEX(GF_Import!D:D,MATCH(AGGREGATE(15,6,(ROW(GF_Import!A$5:A$500)-ROW(GF_Import!A$5)+1)/(GF_Import!A$5:A$500=$B$2),8)+ROW(GF_Import!A$5)-1,ROW(GF_Import!A$5:A$500)-ROW(GF_Import!A$5)+1+ROW(GF_Import!A$5)-1,0)),"")</f>
        <v/>
      </c>
      <c r="E16" s="30">
        <f>IFERROR(INDEX(GF_Import!E:E,MATCH(AGGREGATE(15,6,(ROW(GF_Import!A$5:A$500)-ROW(GF_Import!A$5)+1)/(GF_Import!A$5:A$500=$B$2),8)+ROW(GF_Import!A$5)-1,ROW(GF_Import!A$5:A$500)-ROW(GF_Import!A$5)+1+ROW(GF_Import!A$5)-1,0)),"")</f>
        <v/>
      </c>
      <c r="F16" s="30">
        <f>IFERROR(INDEX(GF_Import!F:F,MATCH(AGGREGATE(15,6,(ROW(GF_Import!A$5:A$500)-ROW(GF_Import!A$5)+1)/(GF_Import!A$5:A$500=$B$2),8)+ROW(GF_Import!A$5)-1,ROW(GF_Import!A$5:A$500)-ROW(GF_Import!A$5)+1+ROW(GF_Import!A$5)-1,0)),"")</f>
        <v/>
      </c>
      <c r="G16" s="30">
        <f>IFERROR(INDEX(GF_Import!G:G,MATCH(AGGREGATE(15,6,(ROW(GF_Import!A$5:A$500)-ROW(GF_Import!A$5)+1)/(GF_Import!A$5:A$500=$B$2),8)+ROW(GF_Import!A$5)-1,ROW(GF_Import!A$5:A$500)-ROW(GF_Import!A$5)+1+ROW(GF_Import!A$5)-1,0)),"")</f>
        <v/>
      </c>
      <c r="H16" s="27">
        <f>IF(F16="","",IFERROR(AVERAGEIF(GF_Import!A:A,$B$2,GF_Import!F:F),""))</f>
        <v/>
      </c>
      <c r="I16" s="28">
        <f>IF(OR(F16="",F15=""),"",IFERROR((F16-F15)/F15,""))</f>
        <v/>
      </c>
    </row>
    <row r="17" ht="18" customHeight="1">
      <c r="A17" s="24" t="n">
        <v>9</v>
      </c>
      <c r="B17" s="25">
        <f>IFERROR(INDEX(GF_Import!B:B,MATCH(AGGREGATE(15,6,(ROW(GF_Import!A$5:A$500)-ROW(GF_Import!A$5)+1)/(GF_Import!A$5:A$500=$B$2),9)+ROW(GF_Import!A$5)-1,ROW(GF_Import!A$5:A$500)-ROW(GF_Import!A$5)+1+ROW(GF_Import!A$5)-1,0)),"")</f>
        <v/>
      </c>
      <c r="C17" s="26">
        <f>IFERROR(INDEX(GF_Import!C:C,MATCH(AGGREGATE(15,6,(ROW(GF_Import!A$5:A$500)-ROW(GF_Import!A$5)+1)/(GF_Import!A$5:A$500=$B$2),9)+ROW(GF_Import!A$5)-1,ROW(GF_Import!A$5:A$500)-ROW(GF_Import!A$5)+1+ROW(GF_Import!A$5)-1,0)),"")</f>
        <v/>
      </c>
      <c r="D17" s="26">
        <f>IFERROR(INDEX(GF_Import!D:D,MATCH(AGGREGATE(15,6,(ROW(GF_Import!A$5:A$500)-ROW(GF_Import!A$5)+1)/(GF_Import!A$5:A$500=$B$2),9)+ROW(GF_Import!A$5)-1,ROW(GF_Import!A$5:A$500)-ROW(GF_Import!A$5)+1+ROW(GF_Import!A$5)-1,0)),"")</f>
        <v/>
      </c>
      <c r="E17" s="26">
        <f>IFERROR(INDEX(GF_Import!E:E,MATCH(AGGREGATE(15,6,(ROW(GF_Import!A$5:A$500)-ROW(GF_Import!A$5)+1)/(GF_Import!A$5:A$500=$B$2),9)+ROW(GF_Import!A$5)-1,ROW(GF_Import!A$5:A$500)-ROW(GF_Import!A$5)+1+ROW(GF_Import!A$5)-1,0)),"")</f>
        <v/>
      </c>
      <c r="F17" s="26">
        <f>IFERROR(INDEX(GF_Import!F:F,MATCH(AGGREGATE(15,6,(ROW(GF_Import!A$5:A$500)-ROW(GF_Import!A$5)+1)/(GF_Import!A$5:A$500=$B$2),9)+ROW(GF_Import!A$5)-1,ROW(GF_Import!A$5:A$500)-ROW(GF_Import!A$5)+1+ROW(GF_Import!A$5)-1,0)),"")</f>
        <v/>
      </c>
      <c r="G17" s="26">
        <f>IFERROR(INDEX(GF_Import!G:G,MATCH(AGGREGATE(15,6,(ROW(GF_Import!A$5:A$500)-ROW(GF_Import!A$5)+1)/(GF_Import!A$5:A$500=$B$2),9)+ROW(GF_Import!A$5)-1,ROW(GF_Import!A$5:A$500)-ROW(GF_Import!A$5)+1+ROW(GF_Import!A$5)-1,0)),"")</f>
        <v/>
      </c>
      <c r="H17" s="27">
        <f>IF(F17="","",IFERROR(AVERAGEIF(GF_Import!A:A,$B$2,GF_Import!F:F),""))</f>
        <v/>
      </c>
      <c r="I17" s="28">
        <f>IF(OR(F17="",F16=""),"",IFERROR((F17-F16)/F16,""))</f>
        <v/>
      </c>
    </row>
    <row r="18" ht="18" customHeight="1">
      <c r="A18" s="24" t="n">
        <v>10</v>
      </c>
      <c r="B18" s="29">
        <f>IFERROR(INDEX(GF_Import!B:B,MATCH(AGGREGATE(15,6,(ROW(GF_Import!A$5:A$500)-ROW(GF_Import!A$5)+1)/(GF_Import!A$5:A$500=$B$2),10)+ROW(GF_Import!A$5)-1,ROW(GF_Import!A$5:A$500)-ROW(GF_Import!A$5)+1+ROW(GF_Import!A$5)-1,0)),"")</f>
        <v/>
      </c>
      <c r="C18" s="30">
        <f>IFERROR(INDEX(GF_Import!C:C,MATCH(AGGREGATE(15,6,(ROW(GF_Import!A$5:A$500)-ROW(GF_Import!A$5)+1)/(GF_Import!A$5:A$500=$B$2),10)+ROW(GF_Import!A$5)-1,ROW(GF_Import!A$5:A$500)-ROW(GF_Import!A$5)+1+ROW(GF_Import!A$5)-1,0)),"")</f>
        <v/>
      </c>
      <c r="D18" s="30">
        <f>IFERROR(INDEX(GF_Import!D:D,MATCH(AGGREGATE(15,6,(ROW(GF_Import!A$5:A$500)-ROW(GF_Import!A$5)+1)/(GF_Import!A$5:A$500=$B$2),10)+ROW(GF_Import!A$5)-1,ROW(GF_Import!A$5:A$500)-ROW(GF_Import!A$5)+1+ROW(GF_Import!A$5)-1,0)),"")</f>
        <v/>
      </c>
      <c r="E18" s="30">
        <f>IFERROR(INDEX(GF_Import!E:E,MATCH(AGGREGATE(15,6,(ROW(GF_Import!A$5:A$500)-ROW(GF_Import!A$5)+1)/(GF_Import!A$5:A$500=$B$2),10)+ROW(GF_Import!A$5)-1,ROW(GF_Import!A$5:A$500)-ROW(GF_Import!A$5)+1+ROW(GF_Import!A$5)-1,0)),"")</f>
        <v/>
      </c>
      <c r="F18" s="30">
        <f>IFERROR(INDEX(GF_Import!F:F,MATCH(AGGREGATE(15,6,(ROW(GF_Import!A$5:A$500)-ROW(GF_Import!A$5)+1)/(GF_Import!A$5:A$500=$B$2),10)+ROW(GF_Import!A$5)-1,ROW(GF_Import!A$5:A$500)-ROW(GF_Import!A$5)+1+ROW(GF_Import!A$5)-1,0)),"")</f>
        <v/>
      </c>
      <c r="G18" s="30">
        <f>IFERROR(INDEX(GF_Import!G:G,MATCH(AGGREGATE(15,6,(ROW(GF_Import!A$5:A$500)-ROW(GF_Import!A$5)+1)/(GF_Import!A$5:A$500=$B$2),10)+ROW(GF_Import!A$5)-1,ROW(GF_Import!A$5:A$500)-ROW(GF_Import!A$5)+1+ROW(GF_Import!A$5)-1,0)),"")</f>
        <v/>
      </c>
      <c r="H18" s="27">
        <f>IF(F18="","",IFERROR(AVERAGEIF(GF_Import!A:A,$B$2,GF_Import!F:F),""))</f>
        <v/>
      </c>
      <c r="I18" s="28">
        <f>IF(OR(F18="",F17=""),"",IFERROR((F18-F17)/F17,""))</f>
        <v/>
      </c>
    </row>
    <row r="19" ht="18" customHeight="1">
      <c r="A19" s="24" t="n">
        <v>11</v>
      </c>
      <c r="B19" s="25">
        <f>IFERROR(INDEX(GF_Import!B:B,MATCH(AGGREGATE(15,6,(ROW(GF_Import!A$5:A$500)-ROW(GF_Import!A$5)+1)/(GF_Import!A$5:A$500=$B$2),11)+ROW(GF_Import!A$5)-1,ROW(GF_Import!A$5:A$500)-ROW(GF_Import!A$5)+1+ROW(GF_Import!A$5)-1,0)),"")</f>
        <v/>
      </c>
      <c r="C19" s="26">
        <f>IFERROR(INDEX(GF_Import!C:C,MATCH(AGGREGATE(15,6,(ROW(GF_Import!A$5:A$500)-ROW(GF_Import!A$5)+1)/(GF_Import!A$5:A$500=$B$2),11)+ROW(GF_Import!A$5)-1,ROW(GF_Import!A$5:A$500)-ROW(GF_Import!A$5)+1+ROW(GF_Import!A$5)-1,0)),"")</f>
        <v/>
      </c>
      <c r="D19" s="26">
        <f>IFERROR(INDEX(GF_Import!D:D,MATCH(AGGREGATE(15,6,(ROW(GF_Import!A$5:A$500)-ROW(GF_Import!A$5)+1)/(GF_Import!A$5:A$500=$B$2),11)+ROW(GF_Import!A$5)-1,ROW(GF_Import!A$5:A$500)-ROW(GF_Import!A$5)+1+ROW(GF_Import!A$5)-1,0)),"")</f>
        <v/>
      </c>
      <c r="E19" s="26">
        <f>IFERROR(INDEX(GF_Import!E:E,MATCH(AGGREGATE(15,6,(ROW(GF_Import!A$5:A$500)-ROW(GF_Import!A$5)+1)/(GF_Import!A$5:A$500=$B$2),11)+ROW(GF_Import!A$5)-1,ROW(GF_Import!A$5:A$500)-ROW(GF_Import!A$5)+1+ROW(GF_Import!A$5)-1,0)),"")</f>
        <v/>
      </c>
      <c r="F19" s="26">
        <f>IFERROR(INDEX(GF_Import!F:F,MATCH(AGGREGATE(15,6,(ROW(GF_Import!A$5:A$500)-ROW(GF_Import!A$5)+1)/(GF_Import!A$5:A$500=$B$2),11)+ROW(GF_Import!A$5)-1,ROW(GF_Import!A$5:A$500)-ROW(GF_Import!A$5)+1+ROW(GF_Import!A$5)-1,0)),"")</f>
        <v/>
      </c>
      <c r="G19" s="26">
        <f>IFERROR(INDEX(GF_Import!G:G,MATCH(AGGREGATE(15,6,(ROW(GF_Import!A$5:A$500)-ROW(GF_Import!A$5)+1)/(GF_Import!A$5:A$500=$B$2),11)+ROW(GF_Import!A$5)-1,ROW(GF_Import!A$5:A$500)-ROW(GF_Import!A$5)+1+ROW(GF_Import!A$5)-1,0)),"")</f>
        <v/>
      </c>
      <c r="H19" s="27">
        <f>IF(F19="","",IFERROR(AVERAGEIF(GF_Import!A:A,$B$2,GF_Import!F:F),""))</f>
        <v/>
      </c>
      <c r="I19" s="28">
        <f>IF(OR(F19="",F18=""),"",IFERROR((F19-F18)/F18,""))</f>
        <v/>
      </c>
    </row>
    <row r="20" ht="18" customHeight="1">
      <c r="A20" s="24" t="n">
        <v>12</v>
      </c>
      <c r="B20" s="29">
        <f>IFERROR(INDEX(GF_Import!B:B,MATCH(AGGREGATE(15,6,(ROW(GF_Import!A$5:A$500)-ROW(GF_Import!A$5)+1)/(GF_Import!A$5:A$500=$B$2),12)+ROW(GF_Import!A$5)-1,ROW(GF_Import!A$5:A$500)-ROW(GF_Import!A$5)+1+ROW(GF_Import!A$5)-1,0)),"")</f>
        <v/>
      </c>
      <c r="C20" s="30">
        <f>IFERROR(INDEX(GF_Import!C:C,MATCH(AGGREGATE(15,6,(ROW(GF_Import!A$5:A$500)-ROW(GF_Import!A$5)+1)/(GF_Import!A$5:A$500=$B$2),12)+ROW(GF_Import!A$5)-1,ROW(GF_Import!A$5:A$500)-ROW(GF_Import!A$5)+1+ROW(GF_Import!A$5)-1,0)),"")</f>
        <v/>
      </c>
      <c r="D20" s="30">
        <f>IFERROR(INDEX(GF_Import!D:D,MATCH(AGGREGATE(15,6,(ROW(GF_Import!A$5:A$500)-ROW(GF_Import!A$5)+1)/(GF_Import!A$5:A$500=$B$2),12)+ROW(GF_Import!A$5)-1,ROW(GF_Import!A$5:A$500)-ROW(GF_Import!A$5)+1+ROW(GF_Import!A$5)-1,0)),"")</f>
        <v/>
      </c>
      <c r="E20" s="30">
        <f>IFERROR(INDEX(GF_Import!E:E,MATCH(AGGREGATE(15,6,(ROW(GF_Import!A$5:A$500)-ROW(GF_Import!A$5)+1)/(GF_Import!A$5:A$500=$B$2),12)+ROW(GF_Import!A$5)-1,ROW(GF_Import!A$5:A$500)-ROW(GF_Import!A$5)+1+ROW(GF_Import!A$5)-1,0)),"")</f>
        <v/>
      </c>
      <c r="F20" s="30">
        <f>IFERROR(INDEX(GF_Import!F:F,MATCH(AGGREGATE(15,6,(ROW(GF_Import!A$5:A$500)-ROW(GF_Import!A$5)+1)/(GF_Import!A$5:A$500=$B$2),12)+ROW(GF_Import!A$5)-1,ROW(GF_Import!A$5:A$500)-ROW(GF_Import!A$5)+1+ROW(GF_Import!A$5)-1,0)),"")</f>
        <v/>
      </c>
      <c r="G20" s="30">
        <f>IFERROR(INDEX(GF_Import!G:G,MATCH(AGGREGATE(15,6,(ROW(GF_Import!A$5:A$500)-ROW(GF_Import!A$5)+1)/(GF_Import!A$5:A$500=$B$2),12)+ROW(GF_Import!A$5)-1,ROW(GF_Import!A$5:A$500)-ROW(GF_Import!A$5)+1+ROW(GF_Import!A$5)-1,0)),"")</f>
        <v/>
      </c>
      <c r="H20" s="27">
        <f>IF(F20="","",IFERROR(AVERAGEIF(GF_Import!A:A,$B$2,GF_Import!F:F),""))</f>
        <v/>
      </c>
      <c r="I20" s="28">
        <f>IF(OR(F20="",F19=""),"",IFERROR((F20-F19)/F19,""))</f>
        <v/>
      </c>
    </row>
    <row r="21" ht="18" customHeight="1">
      <c r="A21" s="24" t="n">
        <v>13</v>
      </c>
      <c r="B21" s="25">
        <f>IFERROR(INDEX(GF_Import!B:B,MATCH(AGGREGATE(15,6,(ROW(GF_Import!A$5:A$500)-ROW(GF_Import!A$5)+1)/(GF_Import!A$5:A$500=$B$2),13)+ROW(GF_Import!A$5)-1,ROW(GF_Import!A$5:A$500)-ROW(GF_Import!A$5)+1+ROW(GF_Import!A$5)-1,0)),"")</f>
        <v/>
      </c>
      <c r="C21" s="26">
        <f>IFERROR(INDEX(GF_Import!C:C,MATCH(AGGREGATE(15,6,(ROW(GF_Import!A$5:A$500)-ROW(GF_Import!A$5)+1)/(GF_Import!A$5:A$500=$B$2),13)+ROW(GF_Import!A$5)-1,ROW(GF_Import!A$5:A$500)-ROW(GF_Import!A$5)+1+ROW(GF_Import!A$5)-1,0)),"")</f>
        <v/>
      </c>
      <c r="D21" s="26">
        <f>IFERROR(INDEX(GF_Import!D:D,MATCH(AGGREGATE(15,6,(ROW(GF_Import!A$5:A$500)-ROW(GF_Import!A$5)+1)/(GF_Import!A$5:A$500=$B$2),13)+ROW(GF_Import!A$5)-1,ROW(GF_Import!A$5:A$500)-ROW(GF_Import!A$5)+1+ROW(GF_Import!A$5)-1,0)),"")</f>
        <v/>
      </c>
      <c r="E21" s="26">
        <f>IFERROR(INDEX(GF_Import!E:E,MATCH(AGGREGATE(15,6,(ROW(GF_Import!A$5:A$500)-ROW(GF_Import!A$5)+1)/(GF_Import!A$5:A$500=$B$2),13)+ROW(GF_Import!A$5)-1,ROW(GF_Import!A$5:A$500)-ROW(GF_Import!A$5)+1+ROW(GF_Import!A$5)-1,0)),"")</f>
        <v/>
      </c>
      <c r="F21" s="26">
        <f>IFERROR(INDEX(GF_Import!F:F,MATCH(AGGREGATE(15,6,(ROW(GF_Import!A$5:A$500)-ROW(GF_Import!A$5)+1)/(GF_Import!A$5:A$500=$B$2),13)+ROW(GF_Import!A$5)-1,ROW(GF_Import!A$5:A$500)-ROW(GF_Import!A$5)+1+ROW(GF_Import!A$5)-1,0)),"")</f>
        <v/>
      </c>
      <c r="G21" s="26">
        <f>IFERROR(INDEX(GF_Import!G:G,MATCH(AGGREGATE(15,6,(ROW(GF_Import!A$5:A$500)-ROW(GF_Import!A$5)+1)/(GF_Import!A$5:A$500=$B$2),13)+ROW(GF_Import!A$5)-1,ROW(GF_Import!A$5:A$500)-ROW(GF_Import!A$5)+1+ROW(GF_Import!A$5)-1,0)),"")</f>
        <v/>
      </c>
      <c r="H21" s="27">
        <f>IF(F21="","",IFERROR(AVERAGEIF(GF_Import!A:A,$B$2,GF_Import!F:F),""))</f>
        <v/>
      </c>
      <c r="I21" s="28">
        <f>IF(OR(F21="",F20=""),"",IFERROR((F21-F20)/F20,""))</f>
        <v/>
      </c>
    </row>
    <row r="22" ht="18" customHeight="1">
      <c r="A22" s="24" t="n">
        <v>14</v>
      </c>
      <c r="B22" s="29">
        <f>IFERROR(INDEX(GF_Import!B:B,MATCH(AGGREGATE(15,6,(ROW(GF_Import!A$5:A$500)-ROW(GF_Import!A$5)+1)/(GF_Import!A$5:A$500=$B$2),14)+ROW(GF_Import!A$5)-1,ROW(GF_Import!A$5:A$500)-ROW(GF_Import!A$5)+1+ROW(GF_Import!A$5)-1,0)),"")</f>
        <v/>
      </c>
      <c r="C22" s="30">
        <f>IFERROR(INDEX(GF_Import!C:C,MATCH(AGGREGATE(15,6,(ROW(GF_Import!A$5:A$500)-ROW(GF_Import!A$5)+1)/(GF_Import!A$5:A$500=$B$2),14)+ROW(GF_Import!A$5)-1,ROW(GF_Import!A$5:A$500)-ROW(GF_Import!A$5)+1+ROW(GF_Import!A$5)-1,0)),"")</f>
        <v/>
      </c>
      <c r="D22" s="30">
        <f>IFERROR(INDEX(GF_Import!D:D,MATCH(AGGREGATE(15,6,(ROW(GF_Import!A$5:A$500)-ROW(GF_Import!A$5)+1)/(GF_Import!A$5:A$500=$B$2),14)+ROW(GF_Import!A$5)-1,ROW(GF_Import!A$5:A$500)-ROW(GF_Import!A$5)+1+ROW(GF_Import!A$5)-1,0)),"")</f>
        <v/>
      </c>
      <c r="E22" s="30">
        <f>IFERROR(INDEX(GF_Import!E:E,MATCH(AGGREGATE(15,6,(ROW(GF_Import!A$5:A$500)-ROW(GF_Import!A$5)+1)/(GF_Import!A$5:A$500=$B$2),14)+ROW(GF_Import!A$5)-1,ROW(GF_Import!A$5:A$500)-ROW(GF_Import!A$5)+1+ROW(GF_Import!A$5)-1,0)),"")</f>
        <v/>
      </c>
      <c r="F22" s="30">
        <f>IFERROR(INDEX(GF_Import!F:F,MATCH(AGGREGATE(15,6,(ROW(GF_Import!A$5:A$500)-ROW(GF_Import!A$5)+1)/(GF_Import!A$5:A$500=$B$2),14)+ROW(GF_Import!A$5)-1,ROW(GF_Import!A$5:A$500)-ROW(GF_Import!A$5)+1+ROW(GF_Import!A$5)-1,0)),"")</f>
        <v/>
      </c>
      <c r="G22" s="30">
        <f>IFERROR(INDEX(GF_Import!G:G,MATCH(AGGREGATE(15,6,(ROW(GF_Import!A$5:A$500)-ROW(GF_Import!A$5)+1)/(GF_Import!A$5:A$500=$B$2),14)+ROW(GF_Import!A$5)-1,ROW(GF_Import!A$5:A$500)-ROW(GF_Import!A$5)+1+ROW(GF_Import!A$5)-1,0)),"")</f>
        <v/>
      </c>
      <c r="H22" s="27">
        <f>IF(F22="","",IFERROR(AVERAGEIF(GF_Import!A:A,$B$2,GF_Import!F:F),""))</f>
        <v/>
      </c>
      <c r="I22" s="28">
        <f>IF(OR(F22="",F21=""),"",IFERROR((F22-F21)/F21,""))</f>
        <v/>
      </c>
    </row>
    <row r="23" ht="18" customHeight="1">
      <c r="A23" s="24" t="n">
        <v>15</v>
      </c>
      <c r="B23" s="25">
        <f>IFERROR(INDEX(GF_Import!B:B,MATCH(AGGREGATE(15,6,(ROW(GF_Import!A$5:A$500)-ROW(GF_Import!A$5)+1)/(GF_Import!A$5:A$500=$B$2),15)+ROW(GF_Import!A$5)-1,ROW(GF_Import!A$5:A$500)-ROW(GF_Import!A$5)+1+ROW(GF_Import!A$5)-1,0)),"")</f>
        <v/>
      </c>
      <c r="C23" s="26">
        <f>IFERROR(INDEX(GF_Import!C:C,MATCH(AGGREGATE(15,6,(ROW(GF_Import!A$5:A$500)-ROW(GF_Import!A$5)+1)/(GF_Import!A$5:A$500=$B$2),15)+ROW(GF_Import!A$5)-1,ROW(GF_Import!A$5:A$500)-ROW(GF_Import!A$5)+1+ROW(GF_Import!A$5)-1,0)),"")</f>
        <v/>
      </c>
      <c r="D23" s="26">
        <f>IFERROR(INDEX(GF_Import!D:D,MATCH(AGGREGATE(15,6,(ROW(GF_Import!A$5:A$500)-ROW(GF_Import!A$5)+1)/(GF_Import!A$5:A$500=$B$2),15)+ROW(GF_Import!A$5)-1,ROW(GF_Import!A$5:A$500)-ROW(GF_Import!A$5)+1+ROW(GF_Import!A$5)-1,0)),"")</f>
        <v/>
      </c>
      <c r="E23" s="26">
        <f>IFERROR(INDEX(GF_Import!E:E,MATCH(AGGREGATE(15,6,(ROW(GF_Import!A$5:A$500)-ROW(GF_Import!A$5)+1)/(GF_Import!A$5:A$500=$B$2),15)+ROW(GF_Import!A$5)-1,ROW(GF_Import!A$5:A$500)-ROW(GF_Import!A$5)+1+ROW(GF_Import!A$5)-1,0)),"")</f>
        <v/>
      </c>
      <c r="F23" s="26">
        <f>IFERROR(INDEX(GF_Import!F:F,MATCH(AGGREGATE(15,6,(ROW(GF_Import!A$5:A$500)-ROW(GF_Import!A$5)+1)/(GF_Import!A$5:A$500=$B$2),15)+ROW(GF_Import!A$5)-1,ROW(GF_Import!A$5:A$500)-ROW(GF_Import!A$5)+1+ROW(GF_Import!A$5)-1,0)),"")</f>
        <v/>
      </c>
      <c r="G23" s="26">
        <f>IFERROR(INDEX(GF_Import!G:G,MATCH(AGGREGATE(15,6,(ROW(GF_Import!A$5:A$500)-ROW(GF_Import!A$5)+1)/(GF_Import!A$5:A$500=$B$2),15)+ROW(GF_Import!A$5)-1,ROW(GF_Import!A$5:A$500)-ROW(GF_Import!A$5)+1+ROW(GF_Import!A$5)-1,0)),"")</f>
        <v/>
      </c>
      <c r="H23" s="27">
        <f>IF(F23="","",IFERROR(AVERAGEIF(GF_Import!A:A,$B$2,GF_Import!F:F),""))</f>
        <v/>
      </c>
      <c r="I23" s="28">
        <f>IF(OR(F23="",F22=""),"",IFERROR((F23-F22)/F22,""))</f>
        <v/>
      </c>
    </row>
    <row r="24" ht="18" customHeight="1">
      <c r="A24" s="24" t="n">
        <v>16</v>
      </c>
      <c r="B24" s="29">
        <f>IFERROR(INDEX(GF_Import!B:B,MATCH(AGGREGATE(15,6,(ROW(GF_Import!A$5:A$500)-ROW(GF_Import!A$5)+1)/(GF_Import!A$5:A$500=$B$2),16)+ROW(GF_Import!A$5)-1,ROW(GF_Import!A$5:A$500)-ROW(GF_Import!A$5)+1+ROW(GF_Import!A$5)-1,0)),"")</f>
        <v/>
      </c>
      <c r="C24" s="30">
        <f>IFERROR(INDEX(GF_Import!C:C,MATCH(AGGREGATE(15,6,(ROW(GF_Import!A$5:A$500)-ROW(GF_Import!A$5)+1)/(GF_Import!A$5:A$500=$B$2),16)+ROW(GF_Import!A$5)-1,ROW(GF_Import!A$5:A$500)-ROW(GF_Import!A$5)+1+ROW(GF_Import!A$5)-1,0)),"")</f>
        <v/>
      </c>
      <c r="D24" s="30">
        <f>IFERROR(INDEX(GF_Import!D:D,MATCH(AGGREGATE(15,6,(ROW(GF_Import!A$5:A$500)-ROW(GF_Import!A$5)+1)/(GF_Import!A$5:A$500=$B$2),16)+ROW(GF_Import!A$5)-1,ROW(GF_Import!A$5:A$500)-ROW(GF_Import!A$5)+1+ROW(GF_Import!A$5)-1,0)),"")</f>
        <v/>
      </c>
      <c r="E24" s="30">
        <f>IFERROR(INDEX(GF_Import!E:E,MATCH(AGGREGATE(15,6,(ROW(GF_Import!A$5:A$500)-ROW(GF_Import!A$5)+1)/(GF_Import!A$5:A$500=$B$2),16)+ROW(GF_Import!A$5)-1,ROW(GF_Import!A$5:A$500)-ROW(GF_Import!A$5)+1+ROW(GF_Import!A$5)-1,0)),"")</f>
        <v/>
      </c>
      <c r="F24" s="30">
        <f>IFERROR(INDEX(GF_Import!F:F,MATCH(AGGREGATE(15,6,(ROW(GF_Import!A$5:A$500)-ROW(GF_Import!A$5)+1)/(GF_Import!A$5:A$500=$B$2),16)+ROW(GF_Import!A$5)-1,ROW(GF_Import!A$5:A$500)-ROW(GF_Import!A$5)+1+ROW(GF_Import!A$5)-1,0)),"")</f>
        <v/>
      </c>
      <c r="G24" s="30">
        <f>IFERROR(INDEX(GF_Import!G:G,MATCH(AGGREGATE(15,6,(ROW(GF_Import!A$5:A$500)-ROW(GF_Import!A$5)+1)/(GF_Import!A$5:A$500=$B$2),16)+ROW(GF_Import!A$5)-1,ROW(GF_Import!A$5:A$500)-ROW(GF_Import!A$5)+1+ROW(GF_Import!A$5)-1,0)),"")</f>
        <v/>
      </c>
      <c r="H24" s="27">
        <f>IF(F24="","",IFERROR(AVERAGEIF(GF_Import!A:A,$B$2,GF_Import!F:F),""))</f>
        <v/>
      </c>
      <c r="I24" s="28">
        <f>IF(OR(F24="",F23=""),"",IFERROR((F24-F23)/F23,""))</f>
        <v/>
      </c>
    </row>
    <row r="25" ht="18" customHeight="1">
      <c r="A25" s="24" t="n">
        <v>17</v>
      </c>
      <c r="B25" s="25">
        <f>IFERROR(INDEX(GF_Import!B:B,MATCH(AGGREGATE(15,6,(ROW(GF_Import!A$5:A$500)-ROW(GF_Import!A$5)+1)/(GF_Import!A$5:A$500=$B$2),17)+ROW(GF_Import!A$5)-1,ROW(GF_Import!A$5:A$500)-ROW(GF_Import!A$5)+1+ROW(GF_Import!A$5)-1,0)),"")</f>
        <v/>
      </c>
      <c r="C25" s="26">
        <f>IFERROR(INDEX(GF_Import!C:C,MATCH(AGGREGATE(15,6,(ROW(GF_Import!A$5:A$500)-ROW(GF_Import!A$5)+1)/(GF_Import!A$5:A$500=$B$2),17)+ROW(GF_Import!A$5)-1,ROW(GF_Import!A$5:A$500)-ROW(GF_Import!A$5)+1+ROW(GF_Import!A$5)-1,0)),"")</f>
        <v/>
      </c>
      <c r="D25" s="26">
        <f>IFERROR(INDEX(GF_Import!D:D,MATCH(AGGREGATE(15,6,(ROW(GF_Import!A$5:A$500)-ROW(GF_Import!A$5)+1)/(GF_Import!A$5:A$500=$B$2),17)+ROW(GF_Import!A$5)-1,ROW(GF_Import!A$5:A$500)-ROW(GF_Import!A$5)+1+ROW(GF_Import!A$5)-1,0)),"")</f>
        <v/>
      </c>
      <c r="E25" s="26">
        <f>IFERROR(INDEX(GF_Import!E:E,MATCH(AGGREGATE(15,6,(ROW(GF_Import!A$5:A$500)-ROW(GF_Import!A$5)+1)/(GF_Import!A$5:A$500=$B$2),17)+ROW(GF_Import!A$5)-1,ROW(GF_Import!A$5:A$500)-ROW(GF_Import!A$5)+1+ROW(GF_Import!A$5)-1,0)),"")</f>
        <v/>
      </c>
      <c r="F25" s="26">
        <f>IFERROR(INDEX(GF_Import!F:F,MATCH(AGGREGATE(15,6,(ROW(GF_Import!A$5:A$500)-ROW(GF_Import!A$5)+1)/(GF_Import!A$5:A$500=$B$2),17)+ROW(GF_Import!A$5)-1,ROW(GF_Import!A$5:A$500)-ROW(GF_Import!A$5)+1+ROW(GF_Import!A$5)-1,0)),"")</f>
        <v/>
      </c>
      <c r="G25" s="26">
        <f>IFERROR(INDEX(GF_Import!G:G,MATCH(AGGREGATE(15,6,(ROW(GF_Import!A$5:A$500)-ROW(GF_Import!A$5)+1)/(GF_Import!A$5:A$500=$B$2),17)+ROW(GF_Import!A$5)-1,ROW(GF_Import!A$5:A$500)-ROW(GF_Import!A$5)+1+ROW(GF_Import!A$5)-1,0)),"")</f>
        <v/>
      </c>
      <c r="H25" s="27">
        <f>IF(F25="","",IFERROR(AVERAGEIF(GF_Import!A:A,$B$2,GF_Import!F:F),""))</f>
        <v/>
      </c>
      <c r="I25" s="28">
        <f>IF(OR(F25="",F24=""),"",IFERROR((F25-F24)/F24,""))</f>
        <v/>
      </c>
    </row>
    <row r="26" ht="18" customHeight="1">
      <c r="A26" s="24" t="n">
        <v>18</v>
      </c>
      <c r="B26" s="29">
        <f>IFERROR(INDEX(GF_Import!B:B,MATCH(AGGREGATE(15,6,(ROW(GF_Import!A$5:A$500)-ROW(GF_Import!A$5)+1)/(GF_Import!A$5:A$500=$B$2),18)+ROW(GF_Import!A$5)-1,ROW(GF_Import!A$5:A$500)-ROW(GF_Import!A$5)+1+ROW(GF_Import!A$5)-1,0)),"")</f>
        <v/>
      </c>
      <c r="C26" s="30">
        <f>IFERROR(INDEX(GF_Import!C:C,MATCH(AGGREGATE(15,6,(ROW(GF_Import!A$5:A$500)-ROW(GF_Import!A$5)+1)/(GF_Import!A$5:A$500=$B$2),18)+ROW(GF_Import!A$5)-1,ROW(GF_Import!A$5:A$500)-ROW(GF_Import!A$5)+1+ROW(GF_Import!A$5)-1,0)),"")</f>
        <v/>
      </c>
      <c r="D26" s="30">
        <f>IFERROR(INDEX(GF_Import!D:D,MATCH(AGGREGATE(15,6,(ROW(GF_Import!A$5:A$500)-ROW(GF_Import!A$5)+1)/(GF_Import!A$5:A$500=$B$2),18)+ROW(GF_Import!A$5)-1,ROW(GF_Import!A$5:A$500)-ROW(GF_Import!A$5)+1+ROW(GF_Import!A$5)-1,0)),"")</f>
        <v/>
      </c>
      <c r="E26" s="30">
        <f>IFERROR(INDEX(GF_Import!E:E,MATCH(AGGREGATE(15,6,(ROW(GF_Import!A$5:A$500)-ROW(GF_Import!A$5)+1)/(GF_Import!A$5:A$500=$B$2),18)+ROW(GF_Import!A$5)-1,ROW(GF_Import!A$5:A$500)-ROW(GF_Import!A$5)+1+ROW(GF_Import!A$5)-1,0)),"")</f>
        <v/>
      </c>
      <c r="F26" s="30">
        <f>IFERROR(INDEX(GF_Import!F:F,MATCH(AGGREGATE(15,6,(ROW(GF_Import!A$5:A$500)-ROW(GF_Import!A$5)+1)/(GF_Import!A$5:A$500=$B$2),18)+ROW(GF_Import!A$5)-1,ROW(GF_Import!A$5:A$500)-ROW(GF_Import!A$5)+1+ROW(GF_Import!A$5)-1,0)),"")</f>
        <v/>
      </c>
      <c r="G26" s="30">
        <f>IFERROR(INDEX(GF_Import!G:G,MATCH(AGGREGATE(15,6,(ROW(GF_Import!A$5:A$500)-ROW(GF_Import!A$5)+1)/(GF_Import!A$5:A$500=$B$2),18)+ROW(GF_Import!A$5)-1,ROW(GF_Import!A$5:A$500)-ROW(GF_Import!A$5)+1+ROW(GF_Import!A$5)-1,0)),"")</f>
        <v/>
      </c>
      <c r="H26" s="27">
        <f>IF(F26="","",IFERROR(AVERAGEIF(GF_Import!A:A,$B$2,GF_Import!F:F),""))</f>
        <v/>
      </c>
      <c r="I26" s="28">
        <f>IF(OR(F26="",F25=""),"",IFERROR((F26-F25)/F25,""))</f>
        <v/>
      </c>
    </row>
    <row r="27" ht="18" customHeight="1">
      <c r="A27" s="24" t="n">
        <v>19</v>
      </c>
      <c r="B27" s="25">
        <f>IFERROR(INDEX(GF_Import!B:B,MATCH(AGGREGATE(15,6,(ROW(GF_Import!A$5:A$500)-ROW(GF_Import!A$5)+1)/(GF_Import!A$5:A$500=$B$2),19)+ROW(GF_Import!A$5)-1,ROW(GF_Import!A$5:A$500)-ROW(GF_Import!A$5)+1+ROW(GF_Import!A$5)-1,0)),"")</f>
        <v/>
      </c>
      <c r="C27" s="26">
        <f>IFERROR(INDEX(GF_Import!C:C,MATCH(AGGREGATE(15,6,(ROW(GF_Import!A$5:A$500)-ROW(GF_Import!A$5)+1)/(GF_Import!A$5:A$500=$B$2),19)+ROW(GF_Import!A$5)-1,ROW(GF_Import!A$5:A$500)-ROW(GF_Import!A$5)+1+ROW(GF_Import!A$5)-1,0)),"")</f>
        <v/>
      </c>
      <c r="D27" s="26">
        <f>IFERROR(INDEX(GF_Import!D:D,MATCH(AGGREGATE(15,6,(ROW(GF_Import!A$5:A$500)-ROW(GF_Import!A$5)+1)/(GF_Import!A$5:A$500=$B$2),19)+ROW(GF_Import!A$5)-1,ROW(GF_Import!A$5:A$500)-ROW(GF_Import!A$5)+1+ROW(GF_Import!A$5)-1,0)),"")</f>
        <v/>
      </c>
      <c r="E27" s="26">
        <f>IFERROR(INDEX(GF_Import!E:E,MATCH(AGGREGATE(15,6,(ROW(GF_Import!A$5:A$500)-ROW(GF_Import!A$5)+1)/(GF_Import!A$5:A$500=$B$2),19)+ROW(GF_Import!A$5)-1,ROW(GF_Import!A$5:A$500)-ROW(GF_Import!A$5)+1+ROW(GF_Import!A$5)-1,0)),"")</f>
        <v/>
      </c>
      <c r="F27" s="26">
        <f>IFERROR(INDEX(GF_Import!F:F,MATCH(AGGREGATE(15,6,(ROW(GF_Import!A$5:A$500)-ROW(GF_Import!A$5)+1)/(GF_Import!A$5:A$500=$B$2),19)+ROW(GF_Import!A$5)-1,ROW(GF_Import!A$5:A$500)-ROW(GF_Import!A$5)+1+ROW(GF_Import!A$5)-1,0)),"")</f>
        <v/>
      </c>
      <c r="G27" s="26">
        <f>IFERROR(INDEX(GF_Import!G:G,MATCH(AGGREGATE(15,6,(ROW(GF_Import!A$5:A$500)-ROW(GF_Import!A$5)+1)/(GF_Import!A$5:A$500=$B$2),19)+ROW(GF_Import!A$5)-1,ROW(GF_Import!A$5:A$500)-ROW(GF_Import!A$5)+1+ROW(GF_Import!A$5)-1,0)),"")</f>
        <v/>
      </c>
      <c r="H27" s="27">
        <f>IF(F27="","",IFERROR(AVERAGEIF(GF_Import!A:A,$B$2,GF_Import!F:F),""))</f>
        <v/>
      </c>
      <c r="I27" s="28">
        <f>IF(OR(F27="",F26=""),"",IFERROR((F27-F26)/F26,""))</f>
        <v/>
      </c>
    </row>
    <row r="28" ht="18" customHeight="1">
      <c r="A28" s="24" t="n">
        <v>20</v>
      </c>
      <c r="B28" s="29">
        <f>IFERROR(INDEX(GF_Import!B:B,MATCH(AGGREGATE(15,6,(ROW(GF_Import!A$5:A$500)-ROW(GF_Import!A$5)+1)/(GF_Import!A$5:A$500=$B$2),20)+ROW(GF_Import!A$5)-1,ROW(GF_Import!A$5:A$500)-ROW(GF_Import!A$5)+1+ROW(GF_Import!A$5)-1,0)),"")</f>
        <v/>
      </c>
      <c r="C28" s="30">
        <f>IFERROR(INDEX(GF_Import!C:C,MATCH(AGGREGATE(15,6,(ROW(GF_Import!A$5:A$500)-ROW(GF_Import!A$5)+1)/(GF_Import!A$5:A$500=$B$2),20)+ROW(GF_Import!A$5)-1,ROW(GF_Import!A$5:A$500)-ROW(GF_Import!A$5)+1+ROW(GF_Import!A$5)-1,0)),"")</f>
        <v/>
      </c>
      <c r="D28" s="30">
        <f>IFERROR(INDEX(GF_Import!D:D,MATCH(AGGREGATE(15,6,(ROW(GF_Import!A$5:A$500)-ROW(GF_Import!A$5)+1)/(GF_Import!A$5:A$500=$B$2),20)+ROW(GF_Import!A$5)-1,ROW(GF_Import!A$5:A$500)-ROW(GF_Import!A$5)+1+ROW(GF_Import!A$5)-1,0)),"")</f>
        <v/>
      </c>
      <c r="E28" s="30">
        <f>IFERROR(INDEX(GF_Import!E:E,MATCH(AGGREGATE(15,6,(ROW(GF_Import!A$5:A$500)-ROW(GF_Import!A$5)+1)/(GF_Import!A$5:A$500=$B$2),20)+ROW(GF_Import!A$5)-1,ROW(GF_Import!A$5:A$500)-ROW(GF_Import!A$5)+1+ROW(GF_Import!A$5)-1,0)),"")</f>
        <v/>
      </c>
      <c r="F28" s="30">
        <f>IFERROR(INDEX(GF_Import!F:F,MATCH(AGGREGATE(15,6,(ROW(GF_Import!A$5:A$500)-ROW(GF_Import!A$5)+1)/(GF_Import!A$5:A$500=$B$2),20)+ROW(GF_Import!A$5)-1,ROW(GF_Import!A$5:A$500)-ROW(GF_Import!A$5)+1+ROW(GF_Import!A$5)-1,0)),"")</f>
        <v/>
      </c>
      <c r="G28" s="30">
        <f>IFERROR(INDEX(GF_Import!G:G,MATCH(AGGREGATE(15,6,(ROW(GF_Import!A$5:A$500)-ROW(GF_Import!A$5)+1)/(GF_Import!A$5:A$500=$B$2),20)+ROW(GF_Import!A$5)-1,ROW(GF_Import!A$5:A$500)-ROW(GF_Import!A$5)+1+ROW(GF_Import!A$5)-1,0)),"")</f>
        <v/>
      </c>
      <c r="H28" s="27">
        <f>IF(F28="","",IFERROR(AVERAGEIF(GF_Import!A:A,$B$2,GF_Import!F:F),""))</f>
        <v/>
      </c>
      <c r="I28" s="28">
        <f>IF(OR(F28="",F27=""),"",IFERROR((F28-F27)/F27,""))</f>
        <v/>
      </c>
    </row>
  </sheetData>
  <mergeCells count="1">
    <mergeCell ref="A1:M1"/>
  </mergeCells>
  <dataValidations count="1">
    <dataValidation sqref="B2" showErrorMessage="1" showInputMessage="1" allowBlank="0" type="list">
      <formula1>"BBCA,BBRI,TLKM,DEWA"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55724"/>
    <outlinePr summaryBelow="1" summaryRight="1"/>
    <pageSetUpPr/>
  </sheetPr>
  <dimension ref="A1:AN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💰  ANALISIS VALUASI — PE BAND &amp; PBV BAND</t>
        </is>
      </c>
    </row>
    <row r="2" ht="14" customHeight="1">
      <c r="B2" s="31" t="inlineStr">
        <is>
          <t>INPUT DATA</t>
        </is>
      </c>
      <c r="G2" s="23" t="inlineStr">
        <is>
          <t>PE BAND (input historis — lihat RTI/BMAD)</t>
        </is>
      </c>
      <c r="L2" s="32" t="inlineStr">
        <is>
          <t>PBV BAND (input historis)</t>
        </is>
      </c>
      <c r="AE2" s="33" t="inlineStr">
        <is>
          <t>UPSIDE / DOWNSIDE KE SETIAP BAND LEVEL</t>
        </is>
      </c>
    </row>
    <row r="3" ht="34" customHeight="1">
      <c r="A3" s="17" t="inlineStr">
        <is>
          <t>KODE</t>
        </is>
      </c>
      <c r="B3" s="17" t="inlineStr">
        <is>
          <t>Harga
Close</t>
        </is>
      </c>
      <c r="C3" s="17" t="inlineStr">
        <is>
          <t>EPS
TTM</t>
        </is>
      </c>
      <c r="D3" s="17" t="inlineStr">
        <is>
          <t>BVPS</t>
        </is>
      </c>
      <c r="E3" s="17" t="inlineStr">
        <is>
          <t>PE
Min</t>
        </is>
      </c>
      <c r="F3" s="17" t="inlineStr">
        <is>
          <t>PE
-1SD</t>
        </is>
      </c>
      <c r="G3" s="17" t="inlineStr">
        <is>
          <t>PE
Median</t>
        </is>
      </c>
      <c r="H3" s="17" t="inlineStr">
        <is>
          <t>PE
+1SD</t>
        </is>
      </c>
      <c r="I3" s="17" t="inlineStr">
        <is>
          <t>PE
Max</t>
        </is>
      </c>
      <c r="J3" s="34" t="inlineStr">
        <is>
          <t>PBV
Min</t>
        </is>
      </c>
      <c r="K3" s="34" t="inlineStr">
        <is>
          <t>PBV
-1SD</t>
        </is>
      </c>
      <c r="L3" s="34" t="inlineStr">
        <is>
          <t>PBV
Median</t>
        </is>
      </c>
      <c r="M3" s="34" t="inlineStr">
        <is>
          <t>PBV
+1SD</t>
        </is>
      </c>
      <c r="N3" s="34" t="inlineStr">
        <is>
          <t>PBV
Max</t>
        </is>
      </c>
      <c r="O3" s="35" t="inlineStr">
        <is>
          <t>PE Curr</t>
        </is>
      </c>
      <c r="P3" s="35" t="inlineStr">
        <is>
          <t>PBV Curr</t>
        </is>
      </c>
      <c r="Q3" s="35" t="inlineStr">
        <is>
          <t>Impl
PE Min</t>
        </is>
      </c>
      <c r="R3" s="35" t="inlineStr">
        <is>
          <t>Impl
PE -1SD</t>
        </is>
      </c>
      <c r="S3" s="35" t="inlineStr">
        <is>
          <t>Impl
PE Med</t>
        </is>
      </c>
      <c r="T3" s="35" t="inlineStr">
        <is>
          <t>Impl
PE +1SD</t>
        </is>
      </c>
      <c r="U3" s="35" t="inlineStr">
        <is>
          <t>Impl
PE Max</t>
        </is>
      </c>
      <c r="V3" s="36" t="inlineStr">
        <is>
          <t>Impl
PBV Min</t>
        </is>
      </c>
      <c r="W3" s="36" t="inlineStr">
        <is>
          <t>Impl
PBV -1SD</t>
        </is>
      </c>
      <c r="X3" s="36" t="inlineStr">
        <is>
          <t>Impl
PBV Med</t>
        </is>
      </c>
      <c r="Y3" s="36" t="inlineStr">
        <is>
          <t>Impl
PBV +1SD</t>
        </is>
      </c>
      <c r="Z3" s="36" t="inlineStr">
        <is>
          <t>Impl
PBV Max</t>
        </is>
      </c>
      <c r="AA3" s="37" t="inlineStr">
        <is>
          <t>PE
%ile</t>
        </is>
      </c>
      <c r="AB3" s="37" t="inlineStr">
        <is>
          <t>PBV
%ile</t>
        </is>
      </c>
      <c r="AC3" s="37" t="inlineStr">
        <is>
          <t>PE Label</t>
        </is>
      </c>
      <c r="AD3" s="37" t="inlineStr">
        <is>
          <t>PBV Label</t>
        </is>
      </c>
      <c r="AE3" s="38" t="inlineStr">
        <is>
          <t>Ke PE Min</t>
        </is>
      </c>
      <c r="AF3" s="38" t="inlineStr">
        <is>
          <t>Ke PE -1SD</t>
        </is>
      </c>
      <c r="AG3" s="38" t="inlineStr">
        <is>
          <t>Ke PE Med</t>
        </is>
      </c>
      <c r="AH3" s="38" t="inlineStr">
        <is>
          <t>Ke PE +1SD</t>
        </is>
      </c>
      <c r="AI3" s="38" t="inlineStr">
        <is>
          <t>Ke PE Max</t>
        </is>
      </c>
      <c r="AJ3" s="39" t="inlineStr">
        <is>
          <t>Ke PBV Min</t>
        </is>
      </c>
      <c r="AK3" s="39" t="inlineStr">
        <is>
          <t>Ke PBV -1SD</t>
        </is>
      </c>
      <c r="AL3" s="39" t="inlineStr">
        <is>
          <t>Ke PBV Med</t>
        </is>
      </c>
      <c r="AM3" s="39" t="inlineStr">
        <is>
          <t>Ke PBV +1SD</t>
        </is>
      </c>
      <c r="AN3" s="39" t="inlineStr">
        <is>
          <t>Ke PBV Max</t>
        </is>
      </c>
    </row>
    <row r="4" ht="16" customHeight="1">
      <c r="A4" s="40" t="inlineStr">
        <is>
          <t>↑ INPUT</t>
        </is>
      </c>
      <c r="B4" s="40" t="inlineStr"/>
      <c r="C4" s="40" t="inlineStr">
        <is>
          <t>PE Curr</t>
        </is>
      </c>
      <c r="D4" s="40" t="inlineStr">
        <is>
          <t>PBV Curr</t>
        </is>
      </c>
      <c r="E4" s="40" t="inlineStr">
        <is>
          <t>Impl Min</t>
        </is>
      </c>
      <c r="F4" s="40" t="inlineStr">
        <is>
          <t>Impl -1SD</t>
        </is>
      </c>
      <c r="G4" s="40" t="inlineStr">
        <is>
          <t>Impl Med</t>
        </is>
      </c>
      <c r="H4" s="40" t="inlineStr">
        <is>
          <t>Impl +1SD</t>
        </is>
      </c>
      <c r="I4" s="40" t="inlineStr">
        <is>
          <t>Impl Max</t>
        </is>
      </c>
      <c r="J4" s="40" t="inlineStr">
        <is>
          <t>Impl Min</t>
        </is>
      </c>
      <c r="K4" s="40" t="inlineStr">
        <is>
          <t>Impl -1SD</t>
        </is>
      </c>
      <c r="L4" s="40" t="inlineStr">
        <is>
          <t>Impl Med</t>
        </is>
      </c>
      <c r="M4" s="40" t="inlineStr">
        <is>
          <t>Impl +1SD</t>
        </is>
      </c>
      <c r="N4" s="40" t="inlineStr">
        <is>
          <t>Impl Max</t>
        </is>
      </c>
      <c r="O4" s="40" t="inlineStr">
        <is>
          <t>PE %ile</t>
        </is>
      </c>
      <c r="P4" s="40" t="inlineStr">
        <is>
          <t>PBV %ile</t>
        </is>
      </c>
      <c r="Q4" s="40" t="inlineStr">
        <is>
          <t>PE Label</t>
        </is>
      </c>
      <c r="R4" s="40" t="inlineStr">
        <is>
          <t>PBV Label</t>
        </is>
      </c>
    </row>
    <row r="5" ht="22" customHeight="1">
      <c r="A5" s="41" t="inlineStr">
        <is>
          <t>BBCA</t>
        </is>
      </c>
      <c r="B5" s="42" t="n">
        <v>6275</v>
      </c>
      <c r="C5" s="42" t="n">
        <v>471.04</v>
      </c>
      <c r="D5" s="42" t="n">
        <v>2108.889</v>
      </c>
      <c r="E5" s="43" t="n">
        <v>10.3</v>
      </c>
      <c r="F5" s="43" t="n">
        <v>13.9</v>
      </c>
      <c r="G5" s="43" t="n">
        <v>16.3</v>
      </c>
      <c r="H5" s="43" t="n">
        <v>17.6</v>
      </c>
      <c r="I5" s="43" t="n">
        <v>19.6</v>
      </c>
      <c r="J5" s="43" t="n">
        <v>2.3</v>
      </c>
      <c r="K5" s="43" t="n">
        <v>3.1</v>
      </c>
      <c r="L5" s="43" t="n">
        <v>3.63</v>
      </c>
      <c r="M5" s="43" t="n">
        <v>3.94</v>
      </c>
      <c r="N5" s="43" t="n">
        <v>4.38</v>
      </c>
      <c r="O5" s="44">
        <f>IFERROR(B5/C5,"-")</f>
        <v/>
      </c>
      <c r="P5" s="44">
        <f>IFERROR(B5/D5,"-")</f>
        <v/>
      </c>
      <c r="Q5" s="19">
        <f>IFERROR(E5*C5,"-")</f>
        <v/>
      </c>
      <c r="R5" s="19">
        <f>IFERROR(F5*C5,"-")</f>
        <v/>
      </c>
      <c r="S5" s="19">
        <f>IFERROR(G5*C5,"-")</f>
        <v/>
      </c>
      <c r="T5" s="19">
        <f>IFERROR(H5*C5,"-")</f>
        <v/>
      </c>
      <c r="U5" s="19">
        <f>IFERROR(I5*C5,"-")</f>
        <v/>
      </c>
      <c r="V5" s="19">
        <f>IFERROR(J5*D5,"-")</f>
        <v/>
      </c>
      <c r="W5" s="19">
        <f>IFERROR(K5*D5,"-")</f>
        <v/>
      </c>
      <c r="X5" s="19">
        <f>IFERROR(L5*D5,"-")</f>
        <v/>
      </c>
      <c r="Y5" s="19">
        <f>IFERROR(M5*D5,"-")</f>
        <v/>
      </c>
      <c r="Z5" s="19">
        <f>IFERROR(N5*D5,"-")</f>
        <v/>
      </c>
      <c r="AA5" s="44">
        <f>IFERROR((O5-E5)/(I5-E5)*100,"-")</f>
        <v/>
      </c>
      <c r="AB5" s="44">
        <f>IFERROR((P5-J5)/(N5-J5)*100,"-")</f>
        <v/>
      </c>
      <c r="AC5" s="45">
        <f>IFERROR(IF(AA5&lt;15,"🟢 Deep Under",IF(AA5&lt;35,"🟡 Undervalued",IF(AA5&lt;65,"⚪ Fair Value",IF(AA5&lt;85,"🟠 Overvalued","🔴 Deep Over")))),"N/A")</f>
        <v/>
      </c>
      <c r="AD5" s="45">
        <f>IFERROR(IF(AB5&lt;15,"🟢 Deep Under",IF(AB5&lt;35,"🟡 Undervalued",IF(AB5&lt;65,"⚪ Fair Value",IF(AB5&lt;85,"🟠 Overvalued","🔴 Deep Over")))),"N/A")</f>
        <v/>
      </c>
      <c r="AE5" s="46">
        <f>IFERROR((Q5-B5)/B5,"-")</f>
        <v/>
      </c>
      <c r="AF5" s="46">
        <f>IFERROR((R5-B5)/B5,"-")</f>
        <v/>
      </c>
      <c r="AG5" s="46">
        <f>IFERROR((S5-B5)/B5,"-")</f>
        <v/>
      </c>
      <c r="AH5" s="46">
        <f>IFERROR((T5-B5)/B5,"-")</f>
        <v/>
      </c>
      <c r="AI5" s="46">
        <f>IFERROR((U5-B5)/B5,"-")</f>
        <v/>
      </c>
      <c r="AJ5" s="46">
        <f>IFERROR((V5-B5)/B5,"-")</f>
        <v/>
      </c>
      <c r="AK5" s="46">
        <f>IFERROR((W5-B5)/B5,"-")</f>
        <v/>
      </c>
      <c r="AL5" s="46">
        <f>IFERROR((X5-B5)/B5,"-")</f>
        <v/>
      </c>
      <c r="AM5" s="46">
        <f>IFERROR((Y5-B5)/B5,"-")</f>
        <v/>
      </c>
      <c r="AN5" s="46">
        <f>IFERROR((Z5-B5)/B5,"-")</f>
        <v/>
      </c>
    </row>
    <row r="6" ht="22" customHeight="1">
      <c r="A6" s="41" t="inlineStr">
        <is>
          <t>BBRI</t>
        </is>
      </c>
      <c r="B6" s="42" t="n">
        <v>2990</v>
      </c>
      <c r="C6" s="42" t="n">
        <v>389.03</v>
      </c>
      <c r="D6" s="42" t="n">
        <v>2246.081</v>
      </c>
      <c r="E6" s="43" t="n">
        <v>6.7</v>
      </c>
      <c r="F6" s="43" t="n">
        <v>8.199999999999999</v>
      </c>
      <c r="G6" s="43" t="n">
        <v>8.9</v>
      </c>
      <c r="H6" s="43" t="n">
        <v>9.5</v>
      </c>
      <c r="I6" s="43" t="n">
        <v>10.4</v>
      </c>
      <c r="J6" s="43" t="n">
        <v>1.15</v>
      </c>
      <c r="K6" s="43" t="n">
        <v>1.42</v>
      </c>
      <c r="L6" s="43" t="n">
        <v>1.54</v>
      </c>
      <c r="M6" s="43" t="n">
        <v>1.64</v>
      </c>
      <c r="N6" s="43" t="n">
        <v>1.79</v>
      </c>
      <c r="O6" s="44">
        <f>IFERROR(B6/C6,"-")</f>
        <v/>
      </c>
      <c r="P6" s="44">
        <f>IFERROR(B6/D6,"-")</f>
        <v/>
      </c>
      <c r="Q6" s="19">
        <f>IFERROR(E6*C6,"-")</f>
        <v/>
      </c>
      <c r="R6" s="19">
        <f>IFERROR(F6*C6,"-")</f>
        <v/>
      </c>
      <c r="S6" s="19">
        <f>IFERROR(G6*C6,"-")</f>
        <v/>
      </c>
      <c r="T6" s="19">
        <f>IFERROR(H6*C6,"-")</f>
        <v/>
      </c>
      <c r="U6" s="19">
        <f>IFERROR(I6*C6,"-")</f>
        <v/>
      </c>
      <c r="V6" s="19">
        <f>IFERROR(J6*D6,"-")</f>
        <v/>
      </c>
      <c r="W6" s="19">
        <f>IFERROR(K6*D6,"-")</f>
        <v/>
      </c>
      <c r="X6" s="19">
        <f>IFERROR(L6*D6,"-")</f>
        <v/>
      </c>
      <c r="Y6" s="19">
        <f>IFERROR(M6*D6,"-")</f>
        <v/>
      </c>
      <c r="Z6" s="19">
        <f>IFERROR(N6*D6,"-")</f>
        <v/>
      </c>
      <c r="AA6" s="44">
        <f>IFERROR((O6-E6)/(I6-E6)*100,"-")</f>
        <v/>
      </c>
      <c r="AB6" s="44">
        <f>IFERROR((P6-J6)/(N6-J6)*100,"-")</f>
        <v/>
      </c>
      <c r="AC6" s="45">
        <f>IFERROR(IF(AA6&lt;15,"🟢 Deep Under",IF(AA6&lt;35,"🟡 Undervalued",IF(AA6&lt;65,"⚪ Fair Value",IF(AA6&lt;85,"🟠 Overvalued","🔴 Deep Over")))),"N/A")</f>
        <v/>
      </c>
      <c r="AD6" s="45">
        <f>IFERROR(IF(AB6&lt;15,"🟢 Deep Under",IF(AB6&lt;35,"🟡 Undervalued",IF(AB6&lt;65,"⚪ Fair Value",IF(AB6&lt;85,"🟠 Overvalued","🔴 Deep Over")))),"N/A")</f>
        <v/>
      </c>
      <c r="AE6" s="46">
        <f>IFERROR((Q6-B6)/B6,"-")</f>
        <v/>
      </c>
      <c r="AF6" s="46">
        <f>IFERROR((R6-B6)/B6,"-")</f>
        <v/>
      </c>
      <c r="AG6" s="46">
        <f>IFERROR((S6-B6)/B6,"-")</f>
        <v/>
      </c>
      <c r="AH6" s="46">
        <f>IFERROR((T6-B6)/B6,"-")</f>
        <v/>
      </c>
      <c r="AI6" s="46">
        <f>IFERROR((U6-B6)/B6,"-")</f>
        <v/>
      </c>
      <c r="AJ6" s="46">
        <f>IFERROR((V6-B6)/B6,"-")</f>
        <v/>
      </c>
      <c r="AK6" s="46">
        <f>IFERROR((W6-B6)/B6,"-")</f>
        <v/>
      </c>
      <c r="AL6" s="46">
        <f>IFERROR((X6-B6)/B6,"-")</f>
        <v/>
      </c>
      <c r="AM6" s="46">
        <f>IFERROR((Y6-B6)/B6,"-")</f>
        <v/>
      </c>
      <c r="AN6" s="46">
        <f>IFERROR((Z6-B6)/B6,"-")</f>
        <v/>
      </c>
    </row>
    <row r="7" ht="22" customHeight="1">
      <c r="A7" s="41" t="inlineStr">
        <is>
          <t>TLKM</t>
        </is>
      </c>
      <c r="B7" s="42" t="n">
        <v>2930</v>
      </c>
      <c r="C7" s="42" t="n">
        <v>164.45</v>
      </c>
      <c r="D7" s="42" t="n">
        <v>1360.33</v>
      </c>
      <c r="E7" s="43" t="n">
        <v>14.3</v>
      </c>
      <c r="F7" s="43" t="n">
        <v>17.1</v>
      </c>
      <c r="G7" s="43" t="n">
        <v>18.9</v>
      </c>
      <c r="H7" s="43" t="n">
        <v>21.1</v>
      </c>
      <c r="I7" s="43" t="n">
        <v>24</v>
      </c>
      <c r="J7" s="43" t="n">
        <v>1.73</v>
      </c>
      <c r="K7" s="43" t="n">
        <v>2.06</v>
      </c>
      <c r="L7" s="43" t="n">
        <v>2.28</v>
      </c>
      <c r="M7" s="43" t="n">
        <v>2.55</v>
      </c>
      <c r="N7" s="43" t="n">
        <v>2.9</v>
      </c>
      <c r="O7" s="44">
        <f>IFERROR(B7/C7,"-")</f>
        <v/>
      </c>
      <c r="P7" s="44">
        <f>IFERROR(B7/D7,"-")</f>
        <v/>
      </c>
      <c r="Q7" s="19">
        <f>IFERROR(E7*C7,"-")</f>
        <v/>
      </c>
      <c r="R7" s="19">
        <f>IFERROR(F7*C7,"-")</f>
        <v/>
      </c>
      <c r="S7" s="19">
        <f>IFERROR(G7*C7,"-")</f>
        <v/>
      </c>
      <c r="T7" s="19">
        <f>IFERROR(H7*C7,"-")</f>
        <v/>
      </c>
      <c r="U7" s="19">
        <f>IFERROR(I7*C7,"-")</f>
        <v/>
      </c>
      <c r="V7" s="19">
        <f>IFERROR(J7*D7,"-")</f>
        <v/>
      </c>
      <c r="W7" s="19">
        <f>IFERROR(K7*D7,"-")</f>
        <v/>
      </c>
      <c r="X7" s="19">
        <f>IFERROR(L7*D7,"-")</f>
        <v/>
      </c>
      <c r="Y7" s="19">
        <f>IFERROR(M7*D7,"-")</f>
        <v/>
      </c>
      <c r="Z7" s="19">
        <f>IFERROR(N7*D7,"-")</f>
        <v/>
      </c>
      <c r="AA7" s="44">
        <f>IFERROR((O7-E7)/(I7-E7)*100,"-")</f>
        <v/>
      </c>
      <c r="AB7" s="44">
        <f>IFERROR((P7-J7)/(N7-J7)*100,"-")</f>
        <v/>
      </c>
      <c r="AC7" s="45">
        <f>IFERROR(IF(AA7&lt;15,"🟢 Deep Under",IF(AA7&lt;35,"🟡 Undervalued",IF(AA7&lt;65,"⚪ Fair Value",IF(AA7&lt;85,"🟠 Overvalued","🔴 Deep Over")))),"N/A")</f>
        <v/>
      </c>
      <c r="AD7" s="45">
        <f>IFERROR(IF(AB7&lt;15,"🟢 Deep Under",IF(AB7&lt;35,"🟡 Undervalued",IF(AB7&lt;65,"⚪ Fair Value",IF(AB7&lt;85,"🟠 Overvalued","🔴 Deep Over")))),"N/A")</f>
        <v/>
      </c>
      <c r="AE7" s="46">
        <f>IFERROR((Q7-B7)/B7,"-")</f>
        <v/>
      </c>
      <c r="AF7" s="46">
        <f>IFERROR((R7-B7)/B7,"-")</f>
        <v/>
      </c>
      <c r="AG7" s="46">
        <f>IFERROR((S7-B7)/B7,"-")</f>
        <v/>
      </c>
      <c r="AH7" s="46">
        <f>IFERROR((T7-B7)/B7,"-")</f>
        <v/>
      </c>
      <c r="AI7" s="46">
        <f>IFERROR((U7-B7)/B7,"-")</f>
        <v/>
      </c>
      <c r="AJ7" s="46">
        <f>IFERROR((V7-B7)/B7,"-")</f>
        <v/>
      </c>
      <c r="AK7" s="46">
        <f>IFERROR((W7-B7)/B7,"-")</f>
        <v/>
      </c>
      <c r="AL7" s="46">
        <f>IFERROR((X7-B7)/B7,"-")</f>
        <v/>
      </c>
      <c r="AM7" s="46">
        <f>IFERROR((Y7-B7)/B7,"-")</f>
        <v/>
      </c>
      <c r="AN7" s="46">
        <f>IFERROR((Z7-B7)/B7,"-")</f>
        <v/>
      </c>
    </row>
    <row r="8" ht="22" customHeight="1">
      <c r="A8" s="41" t="inlineStr">
        <is>
          <t>DEWA</t>
        </is>
      </c>
      <c r="B8" s="42" t="n">
        <v>370</v>
      </c>
      <c r="C8" s="42" t="n">
        <v>111.94</v>
      </c>
      <c r="D8" s="42" t="n">
        <v>193.602</v>
      </c>
      <c r="E8" s="43" t="n">
        <v>1.4</v>
      </c>
      <c r="F8" s="43" t="n">
        <v>1.9</v>
      </c>
      <c r="G8" s="43" t="n">
        <v>3.2</v>
      </c>
      <c r="H8" s="43" t="n">
        <v>4.9</v>
      </c>
      <c r="I8" s="43" t="n">
        <v>7.3</v>
      </c>
      <c r="J8" s="43" t="n">
        <v>0.79</v>
      </c>
      <c r="K8" s="43" t="n">
        <v>1.1</v>
      </c>
      <c r="L8" s="43" t="n">
        <v>1.83</v>
      </c>
      <c r="M8" s="43" t="n">
        <v>2.82</v>
      </c>
      <c r="N8" s="43" t="n">
        <v>4.21</v>
      </c>
      <c r="O8" s="44">
        <f>IFERROR(B8/C8,"-")</f>
        <v/>
      </c>
      <c r="P8" s="44">
        <f>IFERROR(B8/D8,"-")</f>
        <v/>
      </c>
      <c r="Q8" s="19">
        <f>IFERROR(E8*C8,"-")</f>
        <v/>
      </c>
      <c r="R8" s="19">
        <f>IFERROR(F8*C8,"-")</f>
        <v/>
      </c>
      <c r="S8" s="19">
        <f>IFERROR(G8*C8,"-")</f>
        <v/>
      </c>
      <c r="T8" s="19">
        <f>IFERROR(H8*C8,"-")</f>
        <v/>
      </c>
      <c r="U8" s="19">
        <f>IFERROR(I8*C8,"-")</f>
        <v/>
      </c>
      <c r="V8" s="19">
        <f>IFERROR(J8*D8,"-")</f>
        <v/>
      </c>
      <c r="W8" s="19">
        <f>IFERROR(K8*D8,"-")</f>
        <v/>
      </c>
      <c r="X8" s="19">
        <f>IFERROR(L8*D8,"-")</f>
        <v/>
      </c>
      <c r="Y8" s="19">
        <f>IFERROR(M8*D8,"-")</f>
        <v/>
      </c>
      <c r="Z8" s="19">
        <f>IFERROR(N8*D8,"-")</f>
        <v/>
      </c>
      <c r="AA8" s="44">
        <f>IFERROR((O8-E8)/(I8-E8)*100,"-")</f>
        <v/>
      </c>
      <c r="AB8" s="44">
        <f>IFERROR((P8-J8)/(N8-J8)*100,"-")</f>
        <v/>
      </c>
      <c r="AC8" s="45">
        <f>IFERROR(IF(AA8&lt;15,"🟢 Deep Under",IF(AA8&lt;35,"🟡 Undervalued",IF(AA8&lt;65,"⚪ Fair Value",IF(AA8&lt;85,"🟠 Overvalued","🔴 Deep Over")))),"N/A")</f>
        <v/>
      </c>
      <c r="AD8" s="45">
        <f>IFERROR(IF(AB8&lt;15,"🟢 Deep Under",IF(AB8&lt;35,"🟡 Undervalued",IF(AB8&lt;65,"⚪ Fair Value",IF(AB8&lt;85,"🟠 Overvalued","🔴 Deep Over")))),"N/A")</f>
        <v/>
      </c>
      <c r="AE8" s="46">
        <f>IFERROR((Q8-B8)/B8,"-")</f>
        <v/>
      </c>
      <c r="AF8" s="46">
        <f>IFERROR((R8-B8)/B8,"-")</f>
        <v/>
      </c>
      <c r="AG8" s="46">
        <f>IFERROR((S8-B8)/B8,"-")</f>
        <v/>
      </c>
      <c r="AH8" s="46">
        <f>IFERROR((T8-B8)/B8,"-")</f>
        <v/>
      </c>
      <c r="AI8" s="46">
        <f>IFERROR((U8-B8)/B8,"-")</f>
        <v/>
      </c>
      <c r="AJ8" s="46">
        <f>IFERROR((V8-B8)/B8,"-")</f>
        <v/>
      </c>
      <c r="AK8" s="46">
        <f>IFERROR((W8-B8)/B8,"-")</f>
        <v/>
      </c>
      <c r="AL8" s="46">
        <f>IFERROR((X8-B8)/B8,"-")</f>
        <v/>
      </c>
      <c r="AM8" s="46">
        <f>IFERROR((Y8-B8)/B8,"-")</f>
        <v/>
      </c>
      <c r="AN8" s="46">
        <f>IFERROR((Z8-B8)/B8,"-")</f>
        <v/>
      </c>
    </row>
    <row r="12">
      <c r="A12" s="21" t="inlineStr">
        <is>
          <t>PE Band Chart Data (BBCA)</t>
        </is>
      </c>
    </row>
    <row r="13">
      <c r="A13" t="inlineStr">
        <is>
          <t>Level</t>
        </is>
      </c>
      <c r="B13" t="inlineStr">
        <is>
          <t>Implied Price</t>
        </is>
      </c>
      <c r="C13" t="inlineStr">
        <is>
          <t>Harga Saat Ini</t>
        </is>
      </c>
    </row>
    <row r="14">
      <c r="A14" t="inlineStr">
        <is>
          <t>Min</t>
        </is>
      </c>
      <c r="B14">
        <f>Q5</f>
        <v/>
      </c>
      <c r="C14">
        <f>B5</f>
        <v/>
      </c>
    </row>
    <row r="15">
      <c r="A15" t="inlineStr">
        <is>
          <t>-1SD</t>
        </is>
      </c>
      <c r="B15">
        <f>R5</f>
        <v/>
      </c>
      <c r="C15">
        <f>B5</f>
        <v/>
      </c>
    </row>
    <row r="16">
      <c r="A16" t="inlineStr">
        <is>
          <t>Median</t>
        </is>
      </c>
      <c r="B16">
        <f>S5</f>
        <v/>
      </c>
      <c r="C16">
        <f>B5</f>
        <v/>
      </c>
    </row>
    <row r="17">
      <c r="A17" t="inlineStr">
        <is>
          <t>+1SD</t>
        </is>
      </c>
      <c r="B17">
        <f>T5</f>
        <v/>
      </c>
      <c r="C17">
        <f>B5</f>
        <v/>
      </c>
    </row>
    <row r="18">
      <c r="A18" t="inlineStr">
        <is>
          <t>Max</t>
        </is>
      </c>
      <c r="B18">
        <f>U5</f>
        <v/>
      </c>
      <c r="C18">
        <f>B5</f>
        <v/>
      </c>
    </row>
  </sheetData>
  <mergeCells count="5">
    <mergeCell ref="A1:P1"/>
    <mergeCell ref="B2:F2"/>
    <mergeCell ref="G2:K2"/>
    <mergeCell ref="L2:P2"/>
    <mergeCell ref="AE2:A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B1A1A"/>
    <outlinePr summaryBelow="1" summaryRight="1"/>
    <pageSetUpPr/>
  </sheetPr>
  <dimension ref="A1:R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9" customWidth="1" min="13" max="13"/>
    <col width="14" customWidth="1" min="14" max="14"/>
    <col width="15" customWidth="1" min="15" max="15"/>
    <col width="11" customWidth="1" min="16" max="16"/>
    <col width="12" customWidth="1" min="17" max="17"/>
    <col width="11" customWidth="1" min="18" max="18"/>
  </cols>
  <sheetData>
    <row r="1" ht="30" customHeight="1">
      <c r="A1" s="1" t="inlineStr">
        <is>
          <t>📋  CONSENSUS ESTIMATE &amp; ANALYST RATING</t>
        </is>
      </c>
    </row>
    <row r="2" ht="18" customHeight="1">
      <c r="B2" s="23" t="inlineStr">
        <is>
          <t>ANALYST RATING</t>
        </is>
      </c>
      <c r="E2" s="31" t="inlineStr">
        <is>
          <t>TARGET PRICE</t>
        </is>
      </c>
      <c r="H2" s="47" t="inlineStr">
        <is>
          <t>EPS ESTIMATE</t>
        </is>
      </c>
      <c r="K2" s="48" t="inlineStr">
        <is>
          <t>REVENUE (Rp Miliar)</t>
        </is>
      </c>
      <c r="N2" s="49" t="inlineStr">
        <is>
          <t>CONSENSUS OUTPUT</t>
        </is>
      </c>
      <c r="P2" s="50" t="inlineStr">
        <is>
          <t>SKOR &amp; LABEL</t>
        </is>
      </c>
    </row>
    <row r="3" ht="30" customHeight="1">
      <c r="A3" s="17" t="inlineStr">
        <is>
          <t>KODE</t>
        </is>
      </c>
      <c r="B3" s="17" t="inlineStr">
        <is>
          <t>Buy</t>
        </is>
      </c>
      <c r="C3" s="17" t="inlineStr">
        <is>
          <t>Hold</t>
        </is>
      </c>
      <c r="D3" s="17" t="inlineStr">
        <is>
          <t>Sell</t>
        </is>
      </c>
      <c r="E3" s="17" t="inlineStr">
        <is>
          <t>TP Low</t>
        </is>
      </c>
      <c r="F3" s="17" t="inlineStr">
        <is>
          <t>TP Mean</t>
        </is>
      </c>
      <c r="G3" s="17" t="inlineStr">
        <is>
          <t>TP High</t>
        </is>
      </c>
      <c r="H3" s="17" t="inlineStr">
        <is>
          <t>EPS FY0</t>
        </is>
      </c>
      <c r="I3" s="17" t="inlineStr">
        <is>
          <t>EPS FY1</t>
        </is>
      </c>
      <c r="J3" s="17" t="inlineStr">
        <is>
          <t>EPS Grwth</t>
        </is>
      </c>
      <c r="K3" s="17" t="inlineStr">
        <is>
          <t>Rev FY0</t>
        </is>
      </c>
      <c r="L3" s="17" t="inlineStr">
        <is>
          <t>Rev FY1</t>
        </is>
      </c>
      <c r="M3" s="17" t="inlineStr">
        <is>
          <t>Rev Grwth</t>
        </is>
      </c>
      <c r="N3" s="17" t="inlineStr">
        <is>
          <t>Next Earnings</t>
        </is>
      </c>
      <c r="O3" s="17" t="inlineStr">
        <is>
          <t>Catalyst</t>
        </is>
      </c>
      <c r="P3" s="17" t="inlineStr">
        <is>
          <t>Consensus
Score</t>
        </is>
      </c>
      <c r="Q3" s="17" t="inlineStr">
        <is>
          <t>Consensus
Label</t>
        </is>
      </c>
      <c r="R3" s="17" t="inlineStr">
        <is>
          <t>Upside
ke Mean</t>
        </is>
      </c>
    </row>
    <row r="4" ht="22" customHeight="1">
      <c r="A4" s="51" t="inlineStr">
        <is>
          <t>BBCA</t>
        </is>
      </c>
      <c r="B4" s="52" t="n">
        <v>23</v>
      </c>
      <c r="C4" s="52" t="n">
        <v>1</v>
      </c>
      <c r="D4" s="52" t="n">
        <v>0</v>
      </c>
      <c r="E4" s="53" t="n">
        <v>5500</v>
      </c>
      <c r="F4" s="53" t="n">
        <v>8888.541999999999</v>
      </c>
      <c r="G4" s="53" t="n">
        <v>10900</v>
      </c>
      <c r="H4" s="42" t="n">
        <v>486.09213</v>
      </c>
      <c r="I4" s="42" t="n">
        <v>529.8603000000001</v>
      </c>
      <c r="J4" s="54">
        <f>IFERROR((I4-H4)/ABS(H4),"-")</f>
        <v/>
      </c>
      <c r="K4" s="53" t="n">
        <v>118350</v>
      </c>
      <c r="L4" s="53" t="n">
        <v>128400</v>
      </c>
      <c r="M4" s="54">
        <f>IFERROR((L4-K4)/K4,"-")</f>
        <v/>
      </c>
      <c r="N4" s="52" t="inlineStr">
        <is>
          <t>2026-07-22</t>
        </is>
      </c>
      <c r="O4" s="55" t="n"/>
      <c r="P4" s="56">
        <f>IFERROR((B4*100+C4*50)/(B4+C4+D4),"-")</f>
        <v/>
      </c>
      <c r="Q4" s="45">
        <f>IFERROR(IF(P4&gt;=70,"🟢 BULLISH",IF(P4&gt;=40,"🟡 NEUTRAL","🔴 BEARISH")),"N/A")</f>
        <v/>
      </c>
      <c r="R4" s="57">
        <f>IFERROR((F4-VLOOKUP(A4,PE_PBV_Band!A:B,2,0))/VLOOKUP(A4,PE_PBV_Band!A:B,2,0),"-")</f>
        <v/>
      </c>
    </row>
    <row r="5" ht="22" customHeight="1">
      <c r="A5" s="51" t="inlineStr">
        <is>
          <t>BBRI</t>
        </is>
      </c>
      <c r="B5" s="52" t="n">
        <v>17</v>
      </c>
      <c r="C5" s="52" t="n">
        <v>3</v>
      </c>
      <c r="D5" s="52" t="n">
        <v>2</v>
      </c>
      <c r="E5" s="53" t="n">
        <v>2740</v>
      </c>
      <c r="F5" s="53" t="n">
        <v>4054.524</v>
      </c>
      <c r="G5" s="53" t="n">
        <v>4900</v>
      </c>
      <c r="H5" s="42" t="n">
        <v>392.047</v>
      </c>
      <c r="I5" s="42" t="n">
        <v>424.89175</v>
      </c>
      <c r="J5" s="54">
        <f>IFERROR((I5-H5)/ABS(H5),"-")</f>
        <v/>
      </c>
      <c r="K5" s="53" t="n">
        <v>232310</v>
      </c>
      <c r="L5" s="53" t="n">
        <v>243340</v>
      </c>
      <c r="M5" s="54">
        <f>IFERROR((L5-K5)/K5,"-")</f>
        <v/>
      </c>
      <c r="N5" s="52" t="inlineStr">
        <is>
          <t>2026-07-29</t>
        </is>
      </c>
      <c r="O5" s="55" t="n"/>
      <c r="P5" s="56">
        <f>IFERROR((B5*100+C5*50)/(B5+C5+D5),"-")</f>
        <v/>
      </c>
      <c r="Q5" s="45">
        <f>IFERROR(IF(P5&gt;=70,"🟢 BULLISH",IF(P5&gt;=40,"🟡 NEUTRAL","🔴 BEARISH")),"N/A")</f>
        <v/>
      </c>
      <c r="R5" s="57">
        <f>IFERROR((F5-VLOOKUP(A5,PE_PBV_Band!A:B,2,0))/VLOOKUP(A5,PE_PBV_Band!A:B,2,0),"-")</f>
        <v/>
      </c>
    </row>
    <row r="6" ht="22" customHeight="1">
      <c r="A6" s="51" t="inlineStr">
        <is>
          <t>TLKM</t>
        </is>
      </c>
      <c r="B6" s="52" t="n">
        <v>15</v>
      </c>
      <c r="C6" s="52" t="n">
        <v>7</v>
      </c>
      <c r="D6" s="52" t="n">
        <v>0</v>
      </c>
      <c r="E6" s="53" t="n">
        <v>3000</v>
      </c>
      <c r="F6" s="53" t="n">
        <v>3657.0454</v>
      </c>
      <c r="G6" s="53" t="n">
        <v>4150</v>
      </c>
      <c r="H6" s="42" t="n">
        <v>212.41917</v>
      </c>
      <c r="I6" s="42" t="n">
        <v>236.69254</v>
      </c>
      <c r="J6" s="54">
        <f>IFERROR((I6-H6)/ABS(H6),"-")</f>
        <v/>
      </c>
      <c r="K6" s="53" t="n">
        <v>153740</v>
      </c>
      <c r="L6" s="53" t="n">
        <v>155110</v>
      </c>
      <c r="M6" s="54">
        <f>IFERROR((L6-K6)/K6,"-")</f>
        <v/>
      </c>
      <c r="N6" s="52" t="inlineStr">
        <is>
          <t>2026-07-30</t>
        </is>
      </c>
      <c r="O6" s="55" t="n"/>
      <c r="P6" s="56">
        <f>IFERROR((B6*100+C6*50)/(B6+C6+D6),"-")</f>
        <v/>
      </c>
      <c r="Q6" s="45">
        <f>IFERROR(IF(P6&gt;=70,"🟢 BULLISH",IF(P6&gt;=40,"🟡 NEUTRAL","🔴 BEARISH")),"N/A")</f>
        <v/>
      </c>
      <c r="R6" s="57">
        <f>IFERROR((F6-VLOOKUP(A6,PE_PBV_Band!A:B,2,0))/VLOOKUP(A6,PE_PBV_Band!A:B,2,0),"-")</f>
        <v/>
      </c>
    </row>
    <row r="7" ht="22" customHeight="1">
      <c r="A7" s="51" t="inlineStr">
        <is>
          <t>DEWA</t>
        </is>
      </c>
      <c r="B7" s="52" t="n">
        <v>4</v>
      </c>
      <c r="C7" s="52" t="n">
        <v>0</v>
      </c>
      <c r="D7" s="52" t="n">
        <v>0</v>
      </c>
      <c r="E7" s="53" t="n">
        <v>707.8</v>
      </c>
      <c r="F7" s="53" t="n">
        <v>951.10626</v>
      </c>
      <c r="G7" s="53" t="n">
        <v>1397.905</v>
      </c>
      <c r="H7" s="42" t="n">
        <v>0.001</v>
      </c>
      <c r="I7" s="42" t="n">
        <v>0.0015</v>
      </c>
      <c r="J7" s="54">
        <f>IFERROR((I7-H7)/ABS(H7),"-")</f>
        <v/>
      </c>
      <c r="K7" s="53" t="n">
        <v>0</v>
      </c>
      <c r="L7" s="53" t="n">
        <v>0</v>
      </c>
      <c r="M7" s="54">
        <f>IFERROR((L7-K7)/K7,"-")</f>
        <v/>
      </c>
      <c r="N7" s="55" t="n"/>
      <c r="O7" s="55" t="n"/>
      <c r="P7" s="56">
        <f>IFERROR((B7*100+C7*50)/(B7+C7+D7),"-")</f>
        <v/>
      </c>
      <c r="Q7" s="45">
        <f>IFERROR(IF(P7&gt;=70,"🟢 BULLISH",IF(P7&gt;=40,"🟡 NEUTRAL","🔴 BEARISH")),"N/A")</f>
        <v/>
      </c>
      <c r="R7" s="57">
        <f>IFERROR((F7-VLOOKUP(A7,PE_PBV_Band!A:B,2,0))/VLOOKUP(A7,PE_PBV_Band!A:B,2,0),"-")</f>
        <v/>
      </c>
    </row>
    <row r="11">
      <c r="A11" t="inlineStr">
        <is>
          <t>Pie Data (BBCA)</t>
        </is>
      </c>
      <c r="D11" t="inlineStr">
        <is>
          <t>TP Range</t>
        </is>
      </c>
    </row>
    <row r="12">
      <c r="A12" t="inlineStr">
        <is>
          <t>Buy</t>
        </is>
      </c>
      <c r="B12">
        <f>B4</f>
        <v/>
      </c>
      <c r="D12" t="inlineStr">
        <is>
          <t>Low</t>
        </is>
      </c>
      <c r="E12" s="58">
        <f>E4</f>
        <v/>
      </c>
    </row>
    <row r="13">
      <c r="A13" t="inlineStr">
        <is>
          <t>Hold</t>
        </is>
      </c>
      <c r="B13">
        <f>C4</f>
        <v/>
      </c>
      <c r="D13" t="inlineStr">
        <is>
          <t>Mean</t>
        </is>
      </c>
      <c r="E13" s="58">
        <f>F4</f>
        <v/>
      </c>
    </row>
    <row r="14">
      <c r="A14" t="inlineStr">
        <is>
          <t>Sell</t>
        </is>
      </c>
      <c r="B14">
        <f>D4</f>
        <v/>
      </c>
      <c r="D14" t="inlineStr">
        <is>
          <t>High</t>
        </is>
      </c>
      <c r="E14" s="58">
        <f>G4</f>
        <v/>
      </c>
    </row>
    <row r="15">
      <c r="D15" t="inlineStr">
        <is>
          <t>Harga Saat Ini</t>
        </is>
      </c>
      <c r="E15" s="58">
        <f>VLOOKUP(A4,PE_PBV_Band!A:B,2,0)</f>
        <v/>
      </c>
    </row>
  </sheetData>
  <mergeCells count="7">
    <mergeCell ref="A1:R1"/>
    <mergeCell ref="B2:D2"/>
    <mergeCell ref="E2:G2"/>
    <mergeCell ref="H2:J2"/>
    <mergeCell ref="K2:M2"/>
    <mergeCell ref="N2:O2"/>
    <mergeCell ref="P2:R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56404"/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8" customWidth="1" min="4" max="4"/>
    <col width="28" customWidth="1" min="5" max="5"/>
    <col width="10" customWidth="1" min="6" max="6"/>
  </cols>
  <sheetData>
    <row r="1" ht="30" customHeight="1">
      <c r="A1" s="1" t="inlineStr">
        <is>
          <t>🔄  BRIEF SYNC — Output untuk Scalping Brief Generator App</t>
        </is>
      </c>
    </row>
    <row r="2" ht="20" customHeight="1">
      <c r="A2" s="59" t="inlineStr">
        <is>
          <t>Copy nilai dari kolom NILAI ke input field yang sesuai di Scalping Brief Generator App</t>
        </is>
      </c>
    </row>
    <row r="4" ht="24" customHeight="1">
      <c r="A4" s="60" t="inlineStr">
        <is>
          <t>▶  BBCA  — SCALPING BRIEF DATA</t>
        </is>
      </c>
    </row>
    <row r="5" ht="18" customHeight="1">
      <c r="A5" s="61" t="inlineStr">
        <is>
          <t>MODULE</t>
        </is>
      </c>
      <c r="B5" s="61" t="inlineStr">
        <is>
          <t>FIELD</t>
        </is>
      </c>
      <c r="C5" s="61" t="inlineStr">
        <is>
          <t>NILAI</t>
        </is>
      </c>
      <c r="D5" s="61" t="inlineStr">
        <is>
          <t>SATUAN</t>
        </is>
      </c>
      <c r="E5" s="61" t="inlineStr">
        <is>
          <t>CATATAN</t>
        </is>
      </c>
      <c r="F5" s="61" t="inlineStr">
        <is>
          <t>STATUS</t>
        </is>
      </c>
    </row>
    <row r="6" ht="18" customHeight="1">
      <c r="A6" s="62" t="inlineStr">
        <is>
          <t>Kandidat</t>
        </is>
      </c>
      <c r="B6" s="63" t="inlineStr">
        <is>
          <t>Kode Saham</t>
        </is>
      </c>
      <c r="C6" s="45">
        <f>PE_PBV_Band!A5</f>
        <v/>
      </c>
      <c r="D6" s="64" t="inlineStr">
        <is>
          <t>–</t>
        </is>
      </c>
      <c r="E6" s="65" t="inlineStr">
        <is>
          <t>Kode IDX</t>
        </is>
      </c>
      <c r="F6" s="66">
        <f>IF(C6="","⚠️ Kosong","✅ Siap")</f>
        <v/>
      </c>
    </row>
    <row r="7" ht="18" customHeight="1">
      <c r="A7" s="62" t="inlineStr">
        <is>
          <t>Kandidat</t>
        </is>
      </c>
      <c r="B7" s="63" t="inlineStr">
        <is>
          <t>Harga Close</t>
        </is>
      </c>
      <c r="C7" s="45">
        <f>PE_PBV_Band!B5</f>
        <v/>
      </c>
      <c r="D7" s="64" t="inlineStr">
        <is>
          <t>Rp</t>
        </is>
      </c>
      <c r="E7" s="65" t="inlineStr">
        <is>
          <t>Dari GF_Import</t>
        </is>
      </c>
      <c r="F7" s="66">
        <f>IF(C7="","⚠️ Kosong","✅ Siap")</f>
        <v/>
      </c>
    </row>
    <row r="8" ht="18" customHeight="1">
      <c r="A8" s="67" t="inlineStr">
        <is>
          <t>Valuasi</t>
        </is>
      </c>
      <c r="B8" s="63" t="inlineStr">
        <is>
          <t>PE Saat Ini</t>
        </is>
      </c>
      <c r="C8" s="45">
        <f>PE_PBV_Band!O5</f>
        <v/>
      </c>
      <c r="D8" s="64" t="inlineStr">
        <is>
          <t>x</t>
        </is>
      </c>
      <c r="E8" s="65" t="inlineStr">
        <is>
          <t>EPS TTM</t>
        </is>
      </c>
      <c r="F8" s="66">
        <f>IF(C8="","⚠️ Kosong","✅ Siap")</f>
        <v/>
      </c>
    </row>
    <row r="9" ht="18" customHeight="1">
      <c r="A9" s="67" t="inlineStr">
        <is>
          <t>Valuasi</t>
        </is>
      </c>
      <c r="B9" s="63" t="inlineStr">
        <is>
          <t>PBV Saat Ini</t>
        </is>
      </c>
      <c r="C9" s="45">
        <f>PE_PBV_Band!P5</f>
        <v/>
      </c>
      <c r="D9" s="64" t="inlineStr">
        <is>
          <t>x</t>
        </is>
      </c>
      <c r="E9" s="65" t="inlineStr">
        <is>
          <t>BVPS</t>
        </is>
      </c>
      <c r="F9" s="66">
        <f>IF(C9="","⚠️ Kosong","✅ Siap")</f>
        <v/>
      </c>
    </row>
    <row r="10" ht="18" customHeight="1">
      <c r="A10" s="67" t="inlineStr">
        <is>
          <t>Valuasi</t>
        </is>
      </c>
      <c r="B10" s="63" t="inlineStr">
        <is>
          <t>PE Implied Med</t>
        </is>
      </c>
      <c r="C10" s="45">
        <f>PE_PBV_Band!S5</f>
        <v/>
      </c>
      <c r="D10" s="64" t="inlineStr">
        <is>
          <t>Rp</t>
        </is>
      </c>
      <c r="E10" s="65" t="inlineStr">
        <is>
          <t>PE Median Band</t>
        </is>
      </c>
      <c r="F10" s="66">
        <f>IF(C10="","⚠️ Kosong","✅ Siap")</f>
        <v/>
      </c>
    </row>
    <row r="11" ht="18" customHeight="1">
      <c r="A11" s="67" t="inlineStr">
        <is>
          <t>Valuasi</t>
        </is>
      </c>
      <c r="B11" s="63" t="inlineStr">
        <is>
          <t>Upside PE Med</t>
        </is>
      </c>
      <c r="C11" s="45">
        <f>PE_PBV_Band!AG5</f>
        <v/>
      </c>
      <c r="D11" s="64" t="inlineStr">
        <is>
          <t>%</t>
        </is>
      </c>
      <c r="E11" s="65" t="inlineStr">
        <is>
          <t>Ke PE Median</t>
        </is>
      </c>
      <c r="F11" s="66">
        <f>IF(C11="","⚠️ Kosong","✅ Siap")</f>
        <v/>
      </c>
    </row>
    <row r="12" ht="18" customHeight="1">
      <c r="A12" s="67" t="inlineStr">
        <is>
          <t>Valuasi</t>
        </is>
      </c>
      <c r="B12" s="63" t="inlineStr">
        <is>
          <t>Label Valuasi</t>
        </is>
      </c>
      <c r="C12" s="45">
        <f>PE_PBV_Band!AC5</f>
        <v/>
      </c>
      <c r="D12" s="64" t="inlineStr">
        <is>
          <t>–</t>
        </is>
      </c>
      <c r="E12" s="65" t="inlineStr">
        <is>
          <t>Auto dari percentile</t>
        </is>
      </c>
      <c r="F12" s="66">
        <f>IF(C12="","⚠️ Kosong","✅ Siap")</f>
        <v/>
      </c>
    </row>
    <row r="13" ht="18" customHeight="1">
      <c r="A13" s="68" t="inlineStr">
        <is>
          <t>Consensus</t>
        </is>
      </c>
      <c r="B13" s="63" t="inlineStr">
        <is>
          <t>Rating</t>
        </is>
      </c>
      <c r="C13" s="45">
        <f>Consensus_EPS!Q4</f>
        <v/>
      </c>
      <c r="D13" s="64" t="inlineStr">
        <is>
          <t>–</t>
        </is>
      </c>
      <c r="E13" s="65" t="inlineStr">
        <is>
          <t>Bullish/Neutral/Bear</t>
        </is>
      </c>
      <c r="F13" s="66">
        <f>IF(C13="","⚠️ Kosong","✅ Siap")</f>
        <v/>
      </c>
    </row>
    <row r="14" ht="18" customHeight="1">
      <c r="A14" s="68" t="inlineStr">
        <is>
          <t>Consensus</t>
        </is>
      </c>
      <c r="B14" s="63" t="inlineStr">
        <is>
          <t>Cons Score</t>
        </is>
      </c>
      <c r="C14" s="45">
        <f>Consensus_EPS!P4</f>
        <v/>
      </c>
      <c r="D14" s="64" t="inlineStr">
        <is>
          <t>/100</t>
        </is>
      </c>
      <c r="E14" s="65" t="inlineStr">
        <is>
          <t>Weighted avg</t>
        </is>
      </c>
      <c r="F14" s="66">
        <f>IF(C14="","⚠️ Kosong","✅ Siap")</f>
        <v/>
      </c>
    </row>
    <row r="15" ht="18" customHeight="1">
      <c r="A15" s="68" t="inlineStr">
        <is>
          <t>Consensus</t>
        </is>
      </c>
      <c r="B15" s="63" t="inlineStr">
        <is>
          <t>TP Mean</t>
        </is>
      </c>
      <c r="C15" s="45">
        <f>Consensus_EPS!F4</f>
        <v/>
      </c>
      <c r="D15" s="64" t="inlineStr">
        <is>
          <t>Rp</t>
        </is>
      </c>
      <c r="E15" s="65" t="inlineStr">
        <is>
          <t>Mean target analis</t>
        </is>
      </c>
      <c r="F15" s="66">
        <f>IF(C15="","⚠️ Kosong","✅ Siap")</f>
        <v/>
      </c>
    </row>
    <row r="16" ht="18" customHeight="1">
      <c r="A16" s="68" t="inlineStr">
        <is>
          <t>Consensus</t>
        </is>
      </c>
      <c r="B16" s="63" t="inlineStr">
        <is>
          <t>Upside TP</t>
        </is>
      </c>
      <c r="C16" s="45">
        <f>Consensus_EPS!R4</f>
        <v/>
      </c>
      <c r="D16" s="64" t="inlineStr">
        <is>
          <t>%</t>
        </is>
      </c>
      <c r="E16" s="65" t="inlineStr">
        <is>
          <t>Vs harga saat ini</t>
        </is>
      </c>
      <c r="F16" s="66">
        <f>IF(C16="","⚠️ Kosong","✅ Siap")</f>
        <v/>
      </c>
    </row>
    <row r="17" ht="18" customHeight="1">
      <c r="A17" s="68" t="inlineStr">
        <is>
          <t>Consensus</t>
        </is>
      </c>
      <c r="B17" s="63" t="inlineStr">
        <is>
          <t>EPS FY0</t>
        </is>
      </c>
      <c r="C17" s="45">
        <f>Consensus_EPS!H4</f>
        <v/>
      </c>
      <c r="D17" s="64" t="inlineStr">
        <is>
          <t>Rp</t>
        </is>
      </c>
      <c r="E17" s="65" t="inlineStr">
        <is>
          <t>TTM / FY aktual</t>
        </is>
      </c>
      <c r="F17" s="66">
        <f>IF(C17="","⚠️ Kosong","✅ Siap")</f>
        <v/>
      </c>
    </row>
    <row r="18" ht="18" customHeight="1">
      <c r="A18" s="68" t="inlineStr">
        <is>
          <t>Consensus</t>
        </is>
      </c>
      <c r="B18" s="63" t="inlineStr">
        <is>
          <t>EPS FY1 Est</t>
        </is>
      </c>
      <c r="C18" s="45">
        <f>Consensus_EPS!I4</f>
        <v/>
      </c>
      <c r="D18" s="64" t="inlineStr">
        <is>
          <t>Rp</t>
        </is>
      </c>
      <c r="E18" s="65" t="inlineStr">
        <is>
          <t>Estimasi analis</t>
        </is>
      </c>
      <c r="F18" s="66">
        <f>IF(C18="","⚠️ Kosong","✅ Siap")</f>
        <v/>
      </c>
    </row>
    <row r="19" ht="18" customHeight="1">
      <c r="A19" s="68" t="inlineStr">
        <is>
          <t>Consensus</t>
        </is>
      </c>
      <c r="B19" s="63" t="inlineStr">
        <is>
          <t>EPS Growth</t>
        </is>
      </c>
      <c r="C19" s="45">
        <f>Consensus_EPS!J4</f>
        <v/>
      </c>
      <c r="D19" s="64" t="inlineStr">
        <is>
          <t>%</t>
        </is>
      </c>
      <c r="E19" s="65" t="inlineStr">
        <is>
          <t>YoY</t>
        </is>
      </c>
      <c r="F19" s="66">
        <f>IF(C19="","⚠️ Kosong","✅ Siap")</f>
        <v/>
      </c>
    </row>
    <row r="20" ht="18" customHeight="1">
      <c r="A20" s="68" t="inlineStr">
        <is>
          <t>Consensus</t>
        </is>
      </c>
      <c r="B20" s="63" t="inlineStr">
        <is>
          <t>Next Earnings</t>
        </is>
      </c>
      <c r="C20" s="45">
        <f>Consensus_EPS!N4</f>
        <v/>
      </c>
      <c r="D20" s="64" t="inlineStr">
        <is>
          <t>–</t>
        </is>
      </c>
      <c r="E20" s="65" t="inlineStr">
        <is>
          <t>Tanggal LK berikutnya</t>
        </is>
      </c>
      <c r="F20" s="66">
        <f>IF(C20="","⚠️ Kosong","✅ Siap")</f>
        <v/>
      </c>
    </row>
    <row r="22" ht="24" customHeight="1">
      <c r="A22" s="60" t="inlineStr">
        <is>
          <t>▶  BBRI  — SCALPING BRIEF DATA</t>
        </is>
      </c>
    </row>
    <row r="23" ht="18" customHeight="1">
      <c r="A23" s="61" t="inlineStr">
        <is>
          <t>MODULE</t>
        </is>
      </c>
      <c r="B23" s="61" t="inlineStr">
        <is>
          <t>FIELD</t>
        </is>
      </c>
      <c r="C23" s="61" t="inlineStr">
        <is>
          <t>NILAI</t>
        </is>
      </c>
      <c r="D23" s="61" t="inlineStr">
        <is>
          <t>SATUAN</t>
        </is>
      </c>
      <c r="E23" s="61" t="inlineStr">
        <is>
          <t>CATATAN</t>
        </is>
      </c>
      <c r="F23" s="61" t="inlineStr">
        <is>
          <t>STATUS</t>
        </is>
      </c>
    </row>
    <row r="24" ht="18" customHeight="1">
      <c r="A24" s="62" t="inlineStr">
        <is>
          <t>Kandidat</t>
        </is>
      </c>
      <c r="B24" s="63" t="inlineStr">
        <is>
          <t>Kode Saham</t>
        </is>
      </c>
      <c r="C24" s="45">
        <f>PE_PBV_Band!A6</f>
        <v/>
      </c>
      <c r="D24" s="64" t="inlineStr">
        <is>
          <t>–</t>
        </is>
      </c>
      <c r="E24" s="65" t="inlineStr">
        <is>
          <t>Kode IDX</t>
        </is>
      </c>
      <c r="F24" s="66">
        <f>IF(C24="","⚠️ Kosong","✅ Siap")</f>
        <v/>
      </c>
    </row>
    <row r="25" ht="18" customHeight="1">
      <c r="A25" s="62" t="inlineStr">
        <is>
          <t>Kandidat</t>
        </is>
      </c>
      <c r="B25" s="63" t="inlineStr">
        <is>
          <t>Harga Close</t>
        </is>
      </c>
      <c r="C25" s="45">
        <f>PE_PBV_Band!B6</f>
        <v/>
      </c>
      <c r="D25" s="64" t="inlineStr">
        <is>
          <t>Rp</t>
        </is>
      </c>
      <c r="E25" s="65" t="inlineStr">
        <is>
          <t>Dari GF_Import</t>
        </is>
      </c>
      <c r="F25" s="66">
        <f>IF(C25="","⚠️ Kosong","✅ Siap")</f>
        <v/>
      </c>
    </row>
    <row r="26" ht="18" customHeight="1">
      <c r="A26" s="67" t="inlineStr">
        <is>
          <t>Valuasi</t>
        </is>
      </c>
      <c r="B26" s="63" t="inlineStr">
        <is>
          <t>PE Saat Ini</t>
        </is>
      </c>
      <c r="C26" s="45">
        <f>PE_PBV_Band!O6</f>
        <v/>
      </c>
      <c r="D26" s="64" t="inlineStr">
        <is>
          <t>x</t>
        </is>
      </c>
      <c r="E26" s="65" t="inlineStr">
        <is>
          <t>EPS TTM</t>
        </is>
      </c>
      <c r="F26" s="66">
        <f>IF(C26="","⚠️ Kosong","✅ Siap")</f>
        <v/>
      </c>
    </row>
    <row r="27" ht="18" customHeight="1">
      <c r="A27" s="67" t="inlineStr">
        <is>
          <t>Valuasi</t>
        </is>
      </c>
      <c r="B27" s="63" t="inlineStr">
        <is>
          <t>PBV Saat Ini</t>
        </is>
      </c>
      <c r="C27" s="45">
        <f>PE_PBV_Band!P6</f>
        <v/>
      </c>
      <c r="D27" s="64" t="inlineStr">
        <is>
          <t>x</t>
        </is>
      </c>
      <c r="E27" s="65" t="inlineStr">
        <is>
          <t>BVPS</t>
        </is>
      </c>
      <c r="F27" s="66">
        <f>IF(C27="","⚠️ Kosong","✅ Siap")</f>
        <v/>
      </c>
    </row>
    <row r="28" ht="18" customHeight="1">
      <c r="A28" s="67" t="inlineStr">
        <is>
          <t>Valuasi</t>
        </is>
      </c>
      <c r="B28" s="63" t="inlineStr">
        <is>
          <t>PE Implied Med</t>
        </is>
      </c>
      <c r="C28" s="45">
        <f>PE_PBV_Band!S6</f>
        <v/>
      </c>
      <c r="D28" s="64" t="inlineStr">
        <is>
          <t>Rp</t>
        </is>
      </c>
      <c r="E28" s="65" t="inlineStr">
        <is>
          <t>PE Median Band</t>
        </is>
      </c>
      <c r="F28" s="66">
        <f>IF(C28="","⚠️ Kosong","✅ Siap")</f>
        <v/>
      </c>
    </row>
    <row r="29" ht="18" customHeight="1">
      <c r="A29" s="67" t="inlineStr">
        <is>
          <t>Valuasi</t>
        </is>
      </c>
      <c r="B29" s="63" t="inlineStr">
        <is>
          <t>Upside PE Med</t>
        </is>
      </c>
      <c r="C29" s="45">
        <f>PE_PBV_Band!AG6</f>
        <v/>
      </c>
      <c r="D29" s="64" t="inlineStr">
        <is>
          <t>%</t>
        </is>
      </c>
      <c r="E29" s="65" t="inlineStr">
        <is>
          <t>Ke PE Median</t>
        </is>
      </c>
      <c r="F29" s="66">
        <f>IF(C29="","⚠️ Kosong","✅ Siap")</f>
        <v/>
      </c>
    </row>
    <row r="30" ht="18" customHeight="1">
      <c r="A30" s="67" t="inlineStr">
        <is>
          <t>Valuasi</t>
        </is>
      </c>
      <c r="B30" s="63" t="inlineStr">
        <is>
          <t>Label Valuasi</t>
        </is>
      </c>
      <c r="C30" s="45">
        <f>PE_PBV_Band!AC6</f>
        <v/>
      </c>
      <c r="D30" s="64" t="inlineStr">
        <is>
          <t>–</t>
        </is>
      </c>
      <c r="E30" s="65" t="inlineStr">
        <is>
          <t>Auto dari percentile</t>
        </is>
      </c>
      <c r="F30" s="66">
        <f>IF(C30="","⚠️ Kosong","✅ Siap")</f>
        <v/>
      </c>
    </row>
    <row r="31" ht="18" customHeight="1">
      <c r="A31" s="68" t="inlineStr">
        <is>
          <t>Consensus</t>
        </is>
      </c>
      <c r="B31" s="63" t="inlineStr">
        <is>
          <t>Rating</t>
        </is>
      </c>
      <c r="C31" s="45">
        <f>Consensus_EPS!Q5</f>
        <v/>
      </c>
      <c r="D31" s="64" t="inlineStr">
        <is>
          <t>–</t>
        </is>
      </c>
      <c r="E31" s="65" t="inlineStr">
        <is>
          <t>Bullish/Neutral/Bear</t>
        </is>
      </c>
      <c r="F31" s="66">
        <f>IF(C31="","⚠️ Kosong","✅ Siap")</f>
        <v/>
      </c>
    </row>
    <row r="32" ht="18" customHeight="1">
      <c r="A32" s="68" t="inlineStr">
        <is>
          <t>Consensus</t>
        </is>
      </c>
      <c r="B32" s="63" t="inlineStr">
        <is>
          <t>Cons Score</t>
        </is>
      </c>
      <c r="C32" s="45">
        <f>Consensus_EPS!P5</f>
        <v/>
      </c>
      <c r="D32" s="64" t="inlineStr">
        <is>
          <t>/100</t>
        </is>
      </c>
      <c r="E32" s="65" t="inlineStr">
        <is>
          <t>Weighted avg</t>
        </is>
      </c>
      <c r="F32" s="66">
        <f>IF(C32="","⚠️ Kosong","✅ Siap")</f>
        <v/>
      </c>
    </row>
    <row r="33" ht="18" customHeight="1">
      <c r="A33" s="68" t="inlineStr">
        <is>
          <t>Consensus</t>
        </is>
      </c>
      <c r="B33" s="63" t="inlineStr">
        <is>
          <t>TP Mean</t>
        </is>
      </c>
      <c r="C33" s="45">
        <f>Consensus_EPS!F5</f>
        <v/>
      </c>
      <c r="D33" s="64" t="inlineStr">
        <is>
          <t>Rp</t>
        </is>
      </c>
      <c r="E33" s="65" t="inlineStr">
        <is>
          <t>Mean target analis</t>
        </is>
      </c>
      <c r="F33" s="66">
        <f>IF(C33="","⚠️ Kosong","✅ Siap")</f>
        <v/>
      </c>
    </row>
    <row r="34" ht="18" customHeight="1">
      <c r="A34" s="68" t="inlineStr">
        <is>
          <t>Consensus</t>
        </is>
      </c>
      <c r="B34" s="63" t="inlineStr">
        <is>
          <t>Upside TP</t>
        </is>
      </c>
      <c r="C34" s="45">
        <f>Consensus_EPS!R5</f>
        <v/>
      </c>
      <c r="D34" s="64" t="inlineStr">
        <is>
          <t>%</t>
        </is>
      </c>
      <c r="E34" s="65" t="inlineStr">
        <is>
          <t>Vs harga saat ini</t>
        </is>
      </c>
      <c r="F34" s="66">
        <f>IF(C34="","⚠️ Kosong","✅ Siap")</f>
        <v/>
      </c>
    </row>
    <row r="35" ht="18" customHeight="1">
      <c r="A35" s="68" t="inlineStr">
        <is>
          <t>Consensus</t>
        </is>
      </c>
      <c r="B35" s="63" t="inlineStr">
        <is>
          <t>EPS FY0</t>
        </is>
      </c>
      <c r="C35" s="45">
        <f>Consensus_EPS!H5</f>
        <v/>
      </c>
      <c r="D35" s="64" t="inlineStr">
        <is>
          <t>Rp</t>
        </is>
      </c>
      <c r="E35" s="65" t="inlineStr">
        <is>
          <t>TTM / FY aktual</t>
        </is>
      </c>
      <c r="F35" s="66">
        <f>IF(C35="","⚠️ Kosong","✅ Siap")</f>
        <v/>
      </c>
    </row>
    <row r="36" ht="18" customHeight="1">
      <c r="A36" s="68" t="inlineStr">
        <is>
          <t>Consensus</t>
        </is>
      </c>
      <c r="B36" s="63" t="inlineStr">
        <is>
          <t>EPS FY1 Est</t>
        </is>
      </c>
      <c r="C36" s="45">
        <f>Consensus_EPS!I5</f>
        <v/>
      </c>
      <c r="D36" s="64" t="inlineStr">
        <is>
          <t>Rp</t>
        </is>
      </c>
      <c r="E36" s="65" t="inlineStr">
        <is>
          <t>Estimasi analis</t>
        </is>
      </c>
      <c r="F36" s="66">
        <f>IF(C36="","⚠️ Kosong","✅ Siap")</f>
        <v/>
      </c>
    </row>
    <row r="37" ht="18" customHeight="1">
      <c r="A37" s="68" t="inlineStr">
        <is>
          <t>Consensus</t>
        </is>
      </c>
      <c r="B37" s="63" t="inlineStr">
        <is>
          <t>EPS Growth</t>
        </is>
      </c>
      <c r="C37" s="45">
        <f>Consensus_EPS!J5</f>
        <v/>
      </c>
      <c r="D37" s="64" t="inlineStr">
        <is>
          <t>%</t>
        </is>
      </c>
      <c r="E37" s="65" t="inlineStr">
        <is>
          <t>YoY</t>
        </is>
      </c>
      <c r="F37" s="66">
        <f>IF(C37="","⚠️ Kosong","✅ Siap")</f>
        <v/>
      </c>
    </row>
    <row r="38" ht="18" customHeight="1">
      <c r="A38" s="68" t="inlineStr">
        <is>
          <t>Consensus</t>
        </is>
      </c>
      <c r="B38" s="63" t="inlineStr">
        <is>
          <t>Next Earnings</t>
        </is>
      </c>
      <c r="C38" s="45">
        <f>Consensus_EPS!N5</f>
        <v/>
      </c>
      <c r="D38" s="64" t="inlineStr">
        <is>
          <t>–</t>
        </is>
      </c>
      <c r="E38" s="65" t="inlineStr">
        <is>
          <t>Tanggal LK berikutnya</t>
        </is>
      </c>
      <c r="F38" s="66">
        <f>IF(C38="","⚠️ Kosong","✅ Siap")</f>
        <v/>
      </c>
    </row>
    <row r="40" ht="24" customHeight="1">
      <c r="A40" s="60" t="inlineStr">
        <is>
          <t>▶  TLKM  — SCALPING BRIEF DATA</t>
        </is>
      </c>
    </row>
    <row r="41" ht="18" customHeight="1">
      <c r="A41" s="61" t="inlineStr">
        <is>
          <t>MODULE</t>
        </is>
      </c>
      <c r="B41" s="61" t="inlineStr">
        <is>
          <t>FIELD</t>
        </is>
      </c>
      <c r="C41" s="61" t="inlineStr">
        <is>
          <t>NILAI</t>
        </is>
      </c>
      <c r="D41" s="61" t="inlineStr">
        <is>
          <t>SATUAN</t>
        </is>
      </c>
      <c r="E41" s="61" t="inlineStr">
        <is>
          <t>CATATAN</t>
        </is>
      </c>
      <c r="F41" s="61" t="inlineStr">
        <is>
          <t>STATUS</t>
        </is>
      </c>
    </row>
    <row r="42" ht="18" customHeight="1">
      <c r="A42" s="62" t="inlineStr">
        <is>
          <t>Kandidat</t>
        </is>
      </c>
      <c r="B42" s="63" t="inlineStr">
        <is>
          <t>Kode Saham</t>
        </is>
      </c>
      <c r="C42" s="45">
        <f>PE_PBV_Band!A7</f>
        <v/>
      </c>
      <c r="D42" s="64" t="inlineStr">
        <is>
          <t>–</t>
        </is>
      </c>
      <c r="E42" s="65" t="inlineStr">
        <is>
          <t>Kode IDX</t>
        </is>
      </c>
      <c r="F42" s="66">
        <f>IF(C42="","⚠️ Kosong","✅ Siap")</f>
        <v/>
      </c>
    </row>
    <row r="43" ht="18" customHeight="1">
      <c r="A43" s="62" t="inlineStr">
        <is>
          <t>Kandidat</t>
        </is>
      </c>
      <c r="B43" s="63" t="inlineStr">
        <is>
          <t>Harga Close</t>
        </is>
      </c>
      <c r="C43" s="45">
        <f>PE_PBV_Band!B7</f>
        <v/>
      </c>
      <c r="D43" s="64" t="inlineStr">
        <is>
          <t>Rp</t>
        </is>
      </c>
      <c r="E43" s="65" t="inlineStr">
        <is>
          <t>Dari GF_Import</t>
        </is>
      </c>
      <c r="F43" s="66">
        <f>IF(C43="","⚠️ Kosong","✅ Siap")</f>
        <v/>
      </c>
    </row>
    <row r="44" ht="18" customHeight="1">
      <c r="A44" s="67" t="inlineStr">
        <is>
          <t>Valuasi</t>
        </is>
      </c>
      <c r="B44" s="63" t="inlineStr">
        <is>
          <t>PE Saat Ini</t>
        </is>
      </c>
      <c r="C44" s="45">
        <f>PE_PBV_Band!O7</f>
        <v/>
      </c>
      <c r="D44" s="64" t="inlineStr">
        <is>
          <t>x</t>
        </is>
      </c>
      <c r="E44" s="65" t="inlineStr">
        <is>
          <t>EPS TTM</t>
        </is>
      </c>
      <c r="F44" s="66">
        <f>IF(C44="","⚠️ Kosong","✅ Siap")</f>
        <v/>
      </c>
    </row>
    <row r="45" ht="18" customHeight="1">
      <c r="A45" s="67" t="inlineStr">
        <is>
          <t>Valuasi</t>
        </is>
      </c>
      <c r="B45" s="63" t="inlineStr">
        <is>
          <t>PBV Saat Ini</t>
        </is>
      </c>
      <c r="C45" s="45">
        <f>PE_PBV_Band!P7</f>
        <v/>
      </c>
      <c r="D45" s="64" t="inlineStr">
        <is>
          <t>x</t>
        </is>
      </c>
      <c r="E45" s="65" t="inlineStr">
        <is>
          <t>BVPS</t>
        </is>
      </c>
      <c r="F45" s="66">
        <f>IF(C45="","⚠️ Kosong","✅ Siap")</f>
        <v/>
      </c>
    </row>
    <row r="46" ht="18" customHeight="1">
      <c r="A46" s="67" t="inlineStr">
        <is>
          <t>Valuasi</t>
        </is>
      </c>
      <c r="B46" s="63" t="inlineStr">
        <is>
          <t>PE Implied Med</t>
        </is>
      </c>
      <c r="C46" s="45">
        <f>PE_PBV_Band!S7</f>
        <v/>
      </c>
      <c r="D46" s="64" t="inlineStr">
        <is>
          <t>Rp</t>
        </is>
      </c>
      <c r="E46" s="65" t="inlineStr">
        <is>
          <t>PE Median Band</t>
        </is>
      </c>
      <c r="F46" s="66">
        <f>IF(C46="","⚠️ Kosong","✅ Siap")</f>
        <v/>
      </c>
    </row>
    <row r="47" ht="18" customHeight="1">
      <c r="A47" s="67" t="inlineStr">
        <is>
          <t>Valuasi</t>
        </is>
      </c>
      <c r="B47" s="63" t="inlineStr">
        <is>
          <t>Upside PE Med</t>
        </is>
      </c>
      <c r="C47" s="45">
        <f>PE_PBV_Band!AG7</f>
        <v/>
      </c>
      <c r="D47" s="64" t="inlineStr">
        <is>
          <t>%</t>
        </is>
      </c>
      <c r="E47" s="65" t="inlineStr">
        <is>
          <t>Ke PE Median</t>
        </is>
      </c>
      <c r="F47" s="66">
        <f>IF(C47="","⚠️ Kosong","✅ Siap")</f>
        <v/>
      </c>
    </row>
    <row r="48" ht="18" customHeight="1">
      <c r="A48" s="67" t="inlineStr">
        <is>
          <t>Valuasi</t>
        </is>
      </c>
      <c r="B48" s="63" t="inlineStr">
        <is>
          <t>Label Valuasi</t>
        </is>
      </c>
      <c r="C48" s="45">
        <f>PE_PBV_Band!AC7</f>
        <v/>
      </c>
      <c r="D48" s="64" t="inlineStr">
        <is>
          <t>–</t>
        </is>
      </c>
      <c r="E48" s="65" t="inlineStr">
        <is>
          <t>Auto dari percentile</t>
        </is>
      </c>
      <c r="F48" s="66">
        <f>IF(C48="","⚠️ Kosong","✅ Siap")</f>
        <v/>
      </c>
    </row>
    <row r="49" ht="18" customHeight="1">
      <c r="A49" s="68" t="inlineStr">
        <is>
          <t>Consensus</t>
        </is>
      </c>
      <c r="B49" s="63" t="inlineStr">
        <is>
          <t>Rating</t>
        </is>
      </c>
      <c r="C49" s="45">
        <f>Consensus_EPS!Q6</f>
        <v/>
      </c>
      <c r="D49" s="64" t="inlineStr">
        <is>
          <t>–</t>
        </is>
      </c>
      <c r="E49" s="65" t="inlineStr">
        <is>
          <t>Bullish/Neutral/Bear</t>
        </is>
      </c>
      <c r="F49" s="66">
        <f>IF(C49="","⚠️ Kosong","✅ Siap")</f>
        <v/>
      </c>
    </row>
    <row r="50" ht="18" customHeight="1">
      <c r="A50" s="68" t="inlineStr">
        <is>
          <t>Consensus</t>
        </is>
      </c>
      <c r="B50" s="63" t="inlineStr">
        <is>
          <t>Cons Score</t>
        </is>
      </c>
      <c r="C50" s="45">
        <f>Consensus_EPS!P6</f>
        <v/>
      </c>
      <c r="D50" s="64" t="inlineStr">
        <is>
          <t>/100</t>
        </is>
      </c>
      <c r="E50" s="65" t="inlineStr">
        <is>
          <t>Weighted avg</t>
        </is>
      </c>
      <c r="F50" s="66">
        <f>IF(C50="","⚠️ Kosong","✅ Siap")</f>
        <v/>
      </c>
    </row>
    <row r="51" ht="18" customHeight="1">
      <c r="A51" s="68" t="inlineStr">
        <is>
          <t>Consensus</t>
        </is>
      </c>
      <c r="B51" s="63" t="inlineStr">
        <is>
          <t>TP Mean</t>
        </is>
      </c>
      <c r="C51" s="45">
        <f>Consensus_EPS!F6</f>
        <v/>
      </c>
      <c r="D51" s="64" t="inlineStr">
        <is>
          <t>Rp</t>
        </is>
      </c>
      <c r="E51" s="65" t="inlineStr">
        <is>
          <t>Mean target analis</t>
        </is>
      </c>
      <c r="F51" s="66">
        <f>IF(C51="","⚠️ Kosong","✅ Siap")</f>
        <v/>
      </c>
    </row>
    <row r="52" ht="18" customHeight="1">
      <c r="A52" s="68" t="inlineStr">
        <is>
          <t>Consensus</t>
        </is>
      </c>
      <c r="B52" s="63" t="inlineStr">
        <is>
          <t>Upside TP</t>
        </is>
      </c>
      <c r="C52" s="45">
        <f>Consensus_EPS!R6</f>
        <v/>
      </c>
      <c r="D52" s="64" t="inlineStr">
        <is>
          <t>%</t>
        </is>
      </c>
      <c r="E52" s="65" t="inlineStr">
        <is>
          <t>Vs harga saat ini</t>
        </is>
      </c>
      <c r="F52" s="66">
        <f>IF(C52="","⚠️ Kosong","✅ Siap")</f>
        <v/>
      </c>
    </row>
    <row r="53" ht="18" customHeight="1">
      <c r="A53" s="68" t="inlineStr">
        <is>
          <t>Consensus</t>
        </is>
      </c>
      <c r="B53" s="63" t="inlineStr">
        <is>
          <t>EPS FY0</t>
        </is>
      </c>
      <c r="C53" s="45">
        <f>Consensus_EPS!H6</f>
        <v/>
      </c>
      <c r="D53" s="64" t="inlineStr">
        <is>
          <t>Rp</t>
        </is>
      </c>
      <c r="E53" s="65" t="inlineStr">
        <is>
          <t>TTM / FY aktual</t>
        </is>
      </c>
      <c r="F53" s="66">
        <f>IF(C53="","⚠️ Kosong","✅ Siap")</f>
        <v/>
      </c>
    </row>
    <row r="54" ht="18" customHeight="1">
      <c r="A54" s="68" t="inlineStr">
        <is>
          <t>Consensus</t>
        </is>
      </c>
      <c r="B54" s="63" t="inlineStr">
        <is>
          <t>EPS FY1 Est</t>
        </is>
      </c>
      <c r="C54" s="45">
        <f>Consensus_EPS!I6</f>
        <v/>
      </c>
      <c r="D54" s="64" t="inlineStr">
        <is>
          <t>Rp</t>
        </is>
      </c>
      <c r="E54" s="65" t="inlineStr">
        <is>
          <t>Estimasi analis</t>
        </is>
      </c>
      <c r="F54" s="66">
        <f>IF(C54="","⚠️ Kosong","✅ Siap")</f>
        <v/>
      </c>
    </row>
    <row r="55" ht="18" customHeight="1">
      <c r="A55" s="68" t="inlineStr">
        <is>
          <t>Consensus</t>
        </is>
      </c>
      <c r="B55" s="63" t="inlineStr">
        <is>
          <t>EPS Growth</t>
        </is>
      </c>
      <c r="C55" s="45">
        <f>Consensus_EPS!J6</f>
        <v/>
      </c>
      <c r="D55" s="64" t="inlineStr">
        <is>
          <t>%</t>
        </is>
      </c>
      <c r="E55" s="65" t="inlineStr">
        <is>
          <t>YoY</t>
        </is>
      </c>
      <c r="F55" s="66">
        <f>IF(C55="","⚠️ Kosong","✅ Siap")</f>
        <v/>
      </c>
    </row>
    <row r="56" ht="18" customHeight="1">
      <c r="A56" s="68" t="inlineStr">
        <is>
          <t>Consensus</t>
        </is>
      </c>
      <c r="B56" s="63" t="inlineStr">
        <is>
          <t>Next Earnings</t>
        </is>
      </c>
      <c r="C56" s="45">
        <f>Consensus_EPS!N6</f>
        <v/>
      </c>
      <c r="D56" s="64" t="inlineStr">
        <is>
          <t>–</t>
        </is>
      </c>
      <c r="E56" s="65" t="inlineStr">
        <is>
          <t>Tanggal LK berikutnya</t>
        </is>
      </c>
      <c r="F56" s="66">
        <f>IF(C56="","⚠️ Kosong","✅ Siap")</f>
        <v/>
      </c>
    </row>
    <row r="58" ht="24" customHeight="1">
      <c r="A58" s="60" t="inlineStr">
        <is>
          <t>▶  DEWA  — SCALPING BRIEF DATA</t>
        </is>
      </c>
    </row>
    <row r="59" ht="18" customHeight="1">
      <c r="A59" s="61" t="inlineStr">
        <is>
          <t>MODULE</t>
        </is>
      </c>
      <c r="B59" s="61" t="inlineStr">
        <is>
          <t>FIELD</t>
        </is>
      </c>
      <c r="C59" s="61" t="inlineStr">
        <is>
          <t>NILAI</t>
        </is>
      </c>
      <c r="D59" s="61" t="inlineStr">
        <is>
          <t>SATUAN</t>
        </is>
      </c>
      <c r="E59" s="61" t="inlineStr">
        <is>
          <t>CATATAN</t>
        </is>
      </c>
      <c r="F59" s="61" t="inlineStr">
        <is>
          <t>STATUS</t>
        </is>
      </c>
    </row>
    <row r="60" ht="18" customHeight="1">
      <c r="A60" s="62" t="inlineStr">
        <is>
          <t>Kandidat</t>
        </is>
      </c>
      <c r="B60" s="63" t="inlineStr">
        <is>
          <t>Kode Saham</t>
        </is>
      </c>
      <c r="C60" s="45">
        <f>PE_PBV_Band!A8</f>
        <v/>
      </c>
      <c r="D60" s="64" t="inlineStr">
        <is>
          <t>–</t>
        </is>
      </c>
      <c r="E60" s="65" t="inlineStr">
        <is>
          <t>Kode IDX</t>
        </is>
      </c>
      <c r="F60" s="66">
        <f>IF(C60="","⚠️ Kosong","✅ Siap")</f>
        <v/>
      </c>
    </row>
    <row r="61" ht="18" customHeight="1">
      <c r="A61" s="62" t="inlineStr">
        <is>
          <t>Kandidat</t>
        </is>
      </c>
      <c r="B61" s="63" t="inlineStr">
        <is>
          <t>Harga Close</t>
        </is>
      </c>
      <c r="C61" s="45">
        <f>PE_PBV_Band!B8</f>
        <v/>
      </c>
      <c r="D61" s="64" t="inlineStr">
        <is>
          <t>Rp</t>
        </is>
      </c>
      <c r="E61" s="65" t="inlineStr">
        <is>
          <t>Dari GF_Import</t>
        </is>
      </c>
      <c r="F61" s="66">
        <f>IF(C61="","⚠️ Kosong","✅ Siap")</f>
        <v/>
      </c>
    </row>
    <row r="62" ht="18" customHeight="1">
      <c r="A62" s="67" t="inlineStr">
        <is>
          <t>Valuasi</t>
        </is>
      </c>
      <c r="B62" s="63" t="inlineStr">
        <is>
          <t>PE Saat Ini</t>
        </is>
      </c>
      <c r="C62" s="45">
        <f>PE_PBV_Band!O8</f>
        <v/>
      </c>
      <c r="D62" s="64" t="inlineStr">
        <is>
          <t>x</t>
        </is>
      </c>
      <c r="E62" s="65" t="inlineStr">
        <is>
          <t>EPS TTM</t>
        </is>
      </c>
      <c r="F62" s="66">
        <f>IF(C62="","⚠️ Kosong","✅ Siap")</f>
        <v/>
      </c>
    </row>
    <row r="63" ht="18" customHeight="1">
      <c r="A63" s="67" t="inlineStr">
        <is>
          <t>Valuasi</t>
        </is>
      </c>
      <c r="B63" s="63" t="inlineStr">
        <is>
          <t>PBV Saat Ini</t>
        </is>
      </c>
      <c r="C63" s="45">
        <f>PE_PBV_Band!P8</f>
        <v/>
      </c>
      <c r="D63" s="64" t="inlineStr">
        <is>
          <t>x</t>
        </is>
      </c>
      <c r="E63" s="65" t="inlineStr">
        <is>
          <t>BVPS</t>
        </is>
      </c>
      <c r="F63" s="66">
        <f>IF(C63="","⚠️ Kosong","✅ Siap")</f>
        <v/>
      </c>
    </row>
    <row r="64" ht="18" customHeight="1">
      <c r="A64" s="67" t="inlineStr">
        <is>
          <t>Valuasi</t>
        </is>
      </c>
      <c r="B64" s="63" t="inlineStr">
        <is>
          <t>PE Implied Med</t>
        </is>
      </c>
      <c r="C64" s="45">
        <f>PE_PBV_Band!S8</f>
        <v/>
      </c>
      <c r="D64" s="64" t="inlineStr">
        <is>
          <t>Rp</t>
        </is>
      </c>
      <c r="E64" s="65" t="inlineStr">
        <is>
          <t>PE Median Band</t>
        </is>
      </c>
      <c r="F64" s="66">
        <f>IF(C64="","⚠️ Kosong","✅ Siap")</f>
        <v/>
      </c>
    </row>
    <row r="65" ht="18" customHeight="1">
      <c r="A65" s="67" t="inlineStr">
        <is>
          <t>Valuasi</t>
        </is>
      </c>
      <c r="B65" s="63" t="inlineStr">
        <is>
          <t>Upside PE Med</t>
        </is>
      </c>
      <c r="C65" s="45">
        <f>PE_PBV_Band!AG8</f>
        <v/>
      </c>
      <c r="D65" s="64" t="inlineStr">
        <is>
          <t>%</t>
        </is>
      </c>
      <c r="E65" s="65" t="inlineStr">
        <is>
          <t>Ke PE Median</t>
        </is>
      </c>
      <c r="F65" s="66">
        <f>IF(C65="","⚠️ Kosong","✅ Siap")</f>
        <v/>
      </c>
    </row>
    <row r="66" ht="18" customHeight="1">
      <c r="A66" s="67" t="inlineStr">
        <is>
          <t>Valuasi</t>
        </is>
      </c>
      <c r="B66" s="63" t="inlineStr">
        <is>
          <t>Label Valuasi</t>
        </is>
      </c>
      <c r="C66" s="45">
        <f>PE_PBV_Band!AC8</f>
        <v/>
      </c>
      <c r="D66" s="64" t="inlineStr">
        <is>
          <t>–</t>
        </is>
      </c>
      <c r="E66" s="65" t="inlineStr">
        <is>
          <t>Auto dari percentile</t>
        </is>
      </c>
      <c r="F66" s="66">
        <f>IF(C66="","⚠️ Kosong","✅ Siap")</f>
        <v/>
      </c>
    </row>
    <row r="67" ht="18" customHeight="1">
      <c r="A67" s="68" t="inlineStr">
        <is>
          <t>Consensus</t>
        </is>
      </c>
      <c r="B67" s="63" t="inlineStr">
        <is>
          <t>Rating</t>
        </is>
      </c>
      <c r="C67" s="45">
        <f>Consensus_EPS!Q7</f>
        <v/>
      </c>
      <c r="D67" s="64" t="inlineStr">
        <is>
          <t>–</t>
        </is>
      </c>
      <c r="E67" s="65" t="inlineStr">
        <is>
          <t>Bullish/Neutral/Bear</t>
        </is>
      </c>
      <c r="F67" s="66">
        <f>IF(C67="","⚠️ Kosong","✅ Siap")</f>
        <v/>
      </c>
    </row>
    <row r="68" ht="18" customHeight="1">
      <c r="A68" s="68" t="inlineStr">
        <is>
          <t>Consensus</t>
        </is>
      </c>
      <c r="B68" s="63" t="inlineStr">
        <is>
          <t>Cons Score</t>
        </is>
      </c>
      <c r="C68" s="45">
        <f>Consensus_EPS!P7</f>
        <v/>
      </c>
      <c r="D68" s="64" t="inlineStr">
        <is>
          <t>/100</t>
        </is>
      </c>
      <c r="E68" s="65" t="inlineStr">
        <is>
          <t>Weighted avg</t>
        </is>
      </c>
      <c r="F68" s="66">
        <f>IF(C68="","⚠️ Kosong","✅ Siap")</f>
        <v/>
      </c>
    </row>
    <row r="69" ht="18" customHeight="1">
      <c r="A69" s="68" t="inlineStr">
        <is>
          <t>Consensus</t>
        </is>
      </c>
      <c r="B69" s="63" t="inlineStr">
        <is>
          <t>TP Mean</t>
        </is>
      </c>
      <c r="C69" s="45">
        <f>Consensus_EPS!F7</f>
        <v/>
      </c>
      <c r="D69" s="64" t="inlineStr">
        <is>
          <t>Rp</t>
        </is>
      </c>
      <c r="E69" s="65" t="inlineStr">
        <is>
          <t>Mean target analis</t>
        </is>
      </c>
      <c r="F69" s="66">
        <f>IF(C69="","⚠️ Kosong","✅ Siap")</f>
        <v/>
      </c>
    </row>
    <row r="70" ht="18" customHeight="1">
      <c r="A70" s="68" t="inlineStr">
        <is>
          <t>Consensus</t>
        </is>
      </c>
      <c r="B70" s="63" t="inlineStr">
        <is>
          <t>Upside TP</t>
        </is>
      </c>
      <c r="C70" s="45">
        <f>Consensus_EPS!R7</f>
        <v/>
      </c>
      <c r="D70" s="64" t="inlineStr">
        <is>
          <t>%</t>
        </is>
      </c>
      <c r="E70" s="65" t="inlineStr">
        <is>
          <t>Vs harga saat ini</t>
        </is>
      </c>
      <c r="F70" s="66">
        <f>IF(C70="","⚠️ Kosong","✅ Siap")</f>
        <v/>
      </c>
    </row>
    <row r="71" ht="18" customHeight="1">
      <c r="A71" s="68" t="inlineStr">
        <is>
          <t>Consensus</t>
        </is>
      </c>
      <c r="B71" s="63" t="inlineStr">
        <is>
          <t>EPS FY0</t>
        </is>
      </c>
      <c r="C71" s="45">
        <f>Consensus_EPS!H7</f>
        <v/>
      </c>
      <c r="D71" s="64" t="inlineStr">
        <is>
          <t>Rp</t>
        </is>
      </c>
      <c r="E71" s="65" t="inlineStr">
        <is>
          <t>TTM / FY aktual</t>
        </is>
      </c>
      <c r="F71" s="66">
        <f>IF(C71="","⚠️ Kosong","✅ Siap")</f>
        <v/>
      </c>
    </row>
    <row r="72" ht="18" customHeight="1">
      <c r="A72" s="68" t="inlineStr">
        <is>
          <t>Consensus</t>
        </is>
      </c>
      <c r="B72" s="63" t="inlineStr">
        <is>
          <t>EPS FY1 Est</t>
        </is>
      </c>
      <c r="C72" s="45">
        <f>Consensus_EPS!I7</f>
        <v/>
      </c>
      <c r="D72" s="64" t="inlineStr">
        <is>
          <t>Rp</t>
        </is>
      </c>
      <c r="E72" s="65" t="inlineStr">
        <is>
          <t>Estimasi analis</t>
        </is>
      </c>
      <c r="F72" s="66">
        <f>IF(C72="","⚠️ Kosong","✅ Siap")</f>
        <v/>
      </c>
    </row>
    <row r="73" ht="18" customHeight="1">
      <c r="A73" s="68" t="inlineStr">
        <is>
          <t>Consensus</t>
        </is>
      </c>
      <c r="B73" s="63" t="inlineStr">
        <is>
          <t>EPS Growth</t>
        </is>
      </c>
      <c r="C73" s="45">
        <f>Consensus_EPS!J7</f>
        <v/>
      </c>
      <c r="D73" s="64" t="inlineStr">
        <is>
          <t>%</t>
        </is>
      </c>
      <c r="E73" s="65" t="inlineStr">
        <is>
          <t>YoY</t>
        </is>
      </c>
      <c r="F73" s="66">
        <f>IF(C73="","⚠️ Kosong","✅ Siap")</f>
        <v/>
      </c>
    </row>
    <row r="74" ht="18" customHeight="1">
      <c r="A74" s="68" t="inlineStr">
        <is>
          <t>Consensus</t>
        </is>
      </c>
      <c r="B74" s="63" t="inlineStr">
        <is>
          <t>Next Earnings</t>
        </is>
      </c>
      <c r="C74" s="45">
        <f>Consensus_EPS!N7</f>
        <v/>
      </c>
      <c r="D74" s="64" t="inlineStr">
        <is>
          <t>–</t>
        </is>
      </c>
      <c r="E74" s="65" t="inlineStr">
        <is>
          <t>Tanggal LK berikutnya</t>
        </is>
      </c>
      <c r="F74" s="66">
        <f>IF(C74="","⚠️ Kosong","✅ Siap")</f>
        <v/>
      </c>
    </row>
  </sheetData>
  <mergeCells count="6">
    <mergeCell ref="A1:F1"/>
    <mergeCell ref="A2:F2"/>
    <mergeCell ref="A4:F4"/>
    <mergeCell ref="A22:F22"/>
    <mergeCell ref="A40:F40"/>
    <mergeCell ref="A58:F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2026-06-15T09:09:22Z</dcterms:created>
  <dcterms:modified xmlns:dcterms="http://purl.org/dc/terms/" xmlns:xsi="http://www.w3.org/2001/XMLSchema-instance" xsi:type="dcterms:W3CDTF">2026-06-15T09:09:22Z</dcterms:modified>
</cp:coreProperties>
</file>